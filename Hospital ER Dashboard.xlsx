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bb74f8b62bbc03f/Desktop/New folder/DATA CLEANING IN EXCEL/New/"/>
    </mc:Choice>
  </mc:AlternateContent>
  <xr:revisionPtr revIDLastSave="31" documentId="8_{ABEA83BF-ABF8-423F-AD33-AA12BB0531C8}" xr6:coauthVersionLast="47" xr6:coauthVersionMax="47" xr10:uidLastSave="{3FF1C576-6702-453F-92B5-864C4298BB3E}"/>
  <bookViews>
    <workbookView xWindow="-108" yWindow="-108" windowWidth="23256" windowHeight="12456" activeTab="1" xr2:uid="{5B35F807-64D9-4F31-8EEF-647670253B72}"/>
  </bookViews>
  <sheets>
    <sheet name="Pivot report" sheetId="1" r:id="rId1"/>
    <sheet name="Dashboard" sheetId="2" r:id="rId2"/>
    <sheet name="Patients visiting ER each day" sheetId="3" r:id="rId3"/>
    <sheet name="Avg waiting daily trend" sheetId="4" r:id="rId4"/>
    <sheet name="Avg patient satisfaction score" sheetId="5" r:id="rId5"/>
  </sheets>
  <definedNames>
    <definedName name="Slicer_Date__Month">#N/A</definedName>
    <definedName name="Slicer_Date__Year">#N/A</definedName>
  </definedNames>
  <calcPr calcId="191029"/>
  <pivotCaches>
    <pivotCache cacheId="915" r:id="rId6"/>
    <pivotCache cacheId="918" r:id="rId7"/>
    <pivotCache cacheId="921" r:id="rId8"/>
    <pivotCache cacheId="924" r:id="rId9"/>
    <pivotCache cacheId="927" r:id="rId10"/>
    <pivotCache cacheId="930" r:id="rId11"/>
    <pivotCache cacheId="933" r:id="rId12"/>
    <pivotCache cacheId="936" r:id="rId13"/>
    <pivotCache cacheId="939" r:id="rId14"/>
    <pivotCache cacheId="942" r:id="rId15"/>
    <pivotCache cacheId="945" r:id="rId16"/>
    <pivotCache cacheId="9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0f1b6f7-e4ab-4a4b-879f-0f9680613325" name="Hospital Emergency Room Data" connection="Query - Hospital Emergency Room Data"/>
          <x15:modelTable id="Calendar_Table_8428856a-62f4-4b85-a003-a5ed0bb1930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7" i="1" l="1"/>
  <c r="C47" i="1"/>
  <c r="B48" i="1"/>
  <c r="C48" i="1"/>
  <c r="A48"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56FFC8-A69A-40AB-BA90-D07A52CF0684}" name="Query - Calendar_Table" description="Connection to the 'Calendar_Table' query in the workbook." type="100" refreshedVersion="8" minRefreshableVersion="5">
    <extLst>
      <ext xmlns:x15="http://schemas.microsoft.com/office/spreadsheetml/2010/11/main" uri="{DE250136-89BD-433C-8126-D09CA5730AF9}">
        <x15:connection id="965e34d8-8cba-4c33-9ebd-bf510f291c45"/>
      </ext>
    </extLst>
  </connection>
  <connection id="2" xr16:uid="{92C6210D-44D5-4C30-9B0E-1CA9E91B08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231ad5b-cc88-43e3-8444-75a1fccfd35b"/>
      </ext>
    </extLst>
  </connection>
  <connection id="3" xr16:uid="{056B4712-ACE8-4DC6-8785-C5E35B2267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<sst xmlns="http://schemas.openxmlformats.org/spreadsheetml/2006/main" count="165" uniqueCount="83">
  <si>
    <t>Distinct Count of Patient Id</t>
  </si>
  <si>
    <t>Average of Patient Waittime</t>
  </si>
  <si>
    <t>Average of Patient Satisfaction Score</t>
  </si>
  <si>
    <t>Row Labels</t>
  </si>
  <si>
    <t>Grand Total</t>
  </si>
  <si>
    <t>Admitted</t>
  </si>
  <si>
    <t>Not Admitted</t>
  </si>
  <si>
    <t>Count of Patient Admission</t>
  </si>
  <si>
    <t>Count of Patient Admission2</t>
  </si>
  <si>
    <t>Admission status</t>
  </si>
  <si>
    <t>Patients</t>
  </si>
  <si>
    <t>% of Total</t>
  </si>
  <si>
    <t>Status %</t>
  </si>
  <si>
    <t>0-9</t>
  </si>
  <si>
    <t>10-19</t>
  </si>
  <si>
    <t>20-29</t>
  </si>
  <si>
    <t>30-39</t>
  </si>
  <si>
    <t>40-49</t>
  </si>
  <si>
    <t>50-59</t>
  </si>
  <si>
    <t>60-69</t>
  </si>
  <si>
    <t>70-79</t>
  </si>
  <si>
    <t>Count of Patient Id</t>
  </si>
  <si>
    <t>Age group</t>
  </si>
  <si>
    <t>Cardiology</t>
  </si>
  <si>
    <t>Gastroenterology</t>
  </si>
  <si>
    <t>General Practice</t>
  </si>
  <si>
    <t>Neurology</t>
  </si>
  <si>
    <t>None</t>
  </si>
  <si>
    <t>Orthopedics</t>
  </si>
  <si>
    <t>Physiotherapy</t>
  </si>
  <si>
    <t>Renal</t>
  </si>
  <si>
    <t>Delay</t>
  </si>
  <si>
    <t>On-Time</t>
  </si>
  <si>
    <t>Waiting time</t>
  </si>
  <si>
    <t>Female</t>
  </si>
  <si>
    <t>Male</t>
  </si>
  <si>
    <t>Year slicer</t>
  </si>
  <si>
    <t>2024</t>
  </si>
  <si>
    <t>* An area chart to show daily trend of patients visiting ER to spot patterns like busy days or seasonal trends</t>
  </si>
  <si>
    <t>* An area chart to track daily changes and highlight days with longer wait times that might need improvement</t>
  </si>
  <si>
    <t>* An area chart that shows average daily satisfaction score of patients to show trends, spot drops in satisfaction etc.</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</si>
  <si>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</si>
  <si>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</si>
  <si>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</si>
  <si>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</si>
  <si>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</si>
  <si>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</si>
  <si>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</si>
  <si>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</si>
  <si>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</si>
  <si>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</si>
  <si>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</si>
  <si>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</si>
  <si>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</si>
  <si>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</si>
  <si>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</si>
  <si>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</si>
  <si>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</si>
  <si>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</si>
  <si>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</si>
  <si>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</si>
  <si>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</si>
  <si>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</si>
  <si>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</si>
  <si>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</si>
  <si>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</si>
  <si>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</si>
  <si>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</si>
  <si>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</si>
  <si>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</si>
  <si>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</si>
  <si>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</si>
  <si>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No. of patients</t>
  </si>
  <si>
    <t>Avg wait time</t>
  </si>
  <si>
    <t>Avg satisfaction score</t>
  </si>
  <si>
    <t>Month slicer</t>
  </si>
  <si>
    <t>Patients by satisfaction score</t>
  </si>
  <si>
    <t>AREA CHARTS</t>
  </si>
  <si>
    <t>Patients by department referral</t>
  </si>
  <si>
    <t>Patients by age group</t>
  </si>
  <si>
    <t>Patients attended</t>
  </si>
  <si>
    <t>No. of patients visiting ER each day</t>
  </si>
  <si>
    <t xml:space="preserve">Patients by wait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</si>
</sst>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rgb="FF002060"/>
        <bgColor indexed="64"/>
      </patternFill>
    </fill>
    <fill>
      <patternFill patternType="solid">
        <fgColor rgb="FF040337"/>
        <bgColor indexed="64"/>
      </patternFill>
    </fill>
    <fill>
      <patternFill patternType="solid">
        <fgColor theme="1"/>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10" fontId="0" fillId="3" borderId="0" xfId="1" applyNumberFormat="1" applyFont="1" applyFill="1" applyAlignment="1">
      <alignment horizontal="center"/>
    </xf>
    <xf numFmtId="10" fontId="0" fillId="4" borderId="0" xfId="1" applyNumberFormat="1" applyFont="1" applyFill="1" applyAlignment="1">
      <alignment horizontal="center"/>
    </xf>
    <xf numFmtId="0" fontId="0" fillId="5" borderId="1" xfId="0" applyFill="1" applyBorder="1" applyAlignment="1">
      <alignment horizontal="center"/>
    </xf>
    <xf numFmtId="9" fontId="0" fillId="0" borderId="0" xfId="0" applyNumberFormat="1"/>
    <xf numFmtId="1" fontId="0" fillId="0" borderId="0" xfId="0" applyNumberFormat="1"/>
    <xf numFmtId="0" fontId="0" fillId="3" borderId="0" xfId="0" applyFill="1" applyAlignment="1">
      <alignment horizontal="center" vertical="center"/>
    </xf>
    <xf numFmtId="10" fontId="0" fillId="3" borderId="0" xfId="1" applyNumberFormat="1" applyFont="1" applyFill="1" applyAlignment="1">
      <alignment horizontal="center" vertical="center"/>
    </xf>
    <xf numFmtId="0" fontId="0" fillId="4" borderId="0" xfId="0" applyFill="1" applyAlignment="1">
      <alignment horizontal="center" vertical="center"/>
    </xf>
    <xf numFmtId="10" fontId="0" fillId="4" borderId="0" xfId="1" applyNumberFormat="1" applyFont="1" applyFill="1" applyAlignment="1">
      <alignment horizontal="center" vertical="center"/>
    </xf>
    <xf numFmtId="0" fontId="2" fillId="2" borderId="0" xfId="0" applyFont="1" applyFill="1"/>
    <xf numFmtId="0" fontId="0" fillId="0" borderId="0" xfId="0" applyNumberFormat="1"/>
  </cellXfs>
  <cellStyles count="2">
    <cellStyle name="Normal" xfId="0" builtinId="0"/>
    <cellStyle name="Percent" xfId="1" builtinId="5"/>
  </cellStyles>
  <dxfs count="197">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numFmt numFmtId="13" formatCode="0%"/>
    </dxf>
    <dxf>
      <numFmt numFmtId="1" formatCode="0"/>
    </dxf>
    <dxf>
      <numFmt numFmtId="13" formatCode="0%"/>
    </dxf>
    <dxf>
      <numFmt numFmtId="2" formatCode="0.00"/>
    </dxf>
    <dxf>
      <numFmt numFmtId="14"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bottom style="thin">
          <color indexed="64"/>
        </bottom>
      </border>
    </dxf>
    <dxf>
      <fill>
        <patternFill patternType="solid">
          <fgColor indexed="64"/>
          <bgColor theme="1"/>
        </patternFill>
      </fill>
      <alignment horizontal="center" vertical="bottom" textRotation="0" wrapText="0" indent="0" justifyLastLine="0" shrinkToFit="0" readingOrder="0"/>
    </dxf>
    <dxf>
      <fill>
        <patternFill patternType="solid">
          <bgColor rgb="FF002060"/>
        </patternFill>
      </fill>
    </dxf>
    <dxf>
      <fill>
        <patternFill>
          <bgColor rgb="FF002060"/>
        </patternFill>
      </fill>
      <border diagonalUp="0" diagonalDown="0">
        <left/>
        <right/>
        <top/>
        <bottom/>
        <vertical/>
        <horizontal/>
      </border>
    </dxf>
  </dxfs>
  <tableStyles count="2" defaultTableStyle="TableStyleMedium2" defaultPivotStyle="PivotStyleLight16">
    <tableStyle name="Slicer Style 1" pivot="0" table="0" count="5" xr9:uid="{BEC8221D-36EF-487D-8F52-66F17B027591}">
      <tableStyleElement type="wholeTable" dxfId="196"/>
    </tableStyle>
    <tableStyle name="Slicer Style 2" pivot="0" table="0" count="5" xr9:uid="{5E30ECDD-2BB4-4373-A9A3-D28AD19EC02D}">
      <tableStyleElement type="wholeTable" dxfId="195"/>
    </tableStyle>
  </tableStyles>
  <colors>
    <mruColors>
      <color rgb="FF001642"/>
      <color rgb="FF040337"/>
      <color rgb="FF2A2F45"/>
      <color rgb="FFC7D0E0"/>
      <color rgb="FF9185FF"/>
      <color rgb="FFD5DDFF"/>
      <color rgb="FF5B7CFF"/>
      <color rgb="FF2E4766"/>
      <color rgb="FF4C6FFF"/>
      <color rgb="FF234C10"/>
    </mruColors>
  </colors>
  <extLst>
    <ext xmlns:x14="http://schemas.microsoft.com/office/spreadsheetml/2009/9/main" uri="{46F421CA-312F-682f-3DD2-61675219B42D}">
      <x14:dxfs count="8">
        <dxf>
          <font>
            <b/>
            <i val="0"/>
            <color theme="0"/>
          </font>
          <fill>
            <patternFill>
              <bgColor theme="4" tint="0.39994506668294322"/>
            </patternFill>
          </fill>
        </dxf>
        <dxf>
          <font>
            <color theme="0"/>
          </font>
          <fill>
            <patternFill>
              <bgColor theme="6" tint="0.79998168889431442"/>
            </patternFill>
          </fill>
        </dxf>
        <dxf>
          <font>
            <b/>
            <i val="0"/>
            <color theme="0"/>
          </font>
          <fill>
            <patternFill>
              <bgColor rgb="FF002060"/>
            </patternFill>
          </fill>
        </dxf>
        <dxf>
          <fill>
            <patternFill>
              <bgColor theme="6" tint="0.79998168889431442"/>
            </patternFill>
          </fill>
        </dxf>
        <dxf>
          <font>
            <b/>
            <i val="0"/>
            <color theme="0"/>
          </font>
          <fill>
            <patternFill>
              <bgColor rgb="FF9185FF"/>
            </patternFill>
          </fill>
        </dxf>
        <dxf>
          <font>
            <b/>
            <i val="0"/>
            <color theme="0"/>
          </font>
          <fill>
            <patternFill>
              <bgColor rgb="FF2E4766"/>
            </patternFill>
          </fill>
        </dxf>
        <dxf>
          <font>
            <b/>
            <i val="0"/>
            <color theme="0"/>
          </font>
          <fill>
            <patternFill>
              <bgColor rgb="FF001642"/>
            </patternFill>
          </fill>
        </dxf>
        <dxf>
          <font>
            <b/>
            <i val="0"/>
            <color theme="0"/>
          </font>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report!PivotTable7</c:name>
    <c:fmtId val="0"/>
  </c:pivotSource>
  <c:chart>
    <c:autoTitleDeleted val="0"/>
    <c:pivotFmts>
      <c:pivotFmt>
        <c:idx val="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none" lIns="108000" tIns="19050" rIns="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no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9.9794238683127597E-3"/>
          <c:y val="5.0926028612620605E-2"/>
          <c:w val="0.93888888888888888"/>
          <c:h val="0.89814814814814814"/>
        </c:manualLayout>
      </c:layout>
      <c:barChart>
        <c:barDir val="bar"/>
        <c:grouping val="clustered"/>
        <c:varyColors val="0"/>
        <c:ser>
          <c:idx val="0"/>
          <c:order val="0"/>
          <c:tx>
            <c:strRef>
              <c:f>'Pivot report'!$B$39</c:f>
              <c:strCache>
                <c:ptCount val="1"/>
                <c:pt idx="0">
                  <c:v>Count of Patient Admission</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none" lIns="108000" tIns="19050" rIns="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report'!$A$40:$A$42</c:f>
              <c:strCache>
                <c:ptCount val="2"/>
                <c:pt idx="0">
                  <c:v>Admitted</c:v>
                </c:pt>
                <c:pt idx="1">
                  <c:v>Not Admitted</c:v>
                </c:pt>
              </c:strCache>
            </c:strRef>
          </c:cat>
          <c:val>
            <c:numRef>
              <c:f>'Pivot report'!$B$40:$B$42</c:f>
              <c:numCache>
                <c:formatCode>0.00</c:formatCode>
                <c:ptCount val="2"/>
                <c:pt idx="0">
                  <c:v>269</c:v>
                </c:pt>
                <c:pt idx="1">
                  <c:v>244</c:v>
                </c:pt>
              </c:numCache>
            </c:numRef>
          </c:val>
          <c:extLst>
            <c:ext xmlns:c16="http://schemas.microsoft.com/office/drawing/2014/chart" uri="{C3380CC4-5D6E-409C-BE32-E72D297353CC}">
              <c16:uniqueId val="{00000005-E3E1-4D0B-BC1F-99AC42CF6DB5}"/>
            </c:ext>
          </c:extLst>
        </c:ser>
        <c:ser>
          <c:idx val="1"/>
          <c:order val="1"/>
          <c:tx>
            <c:strRef>
              <c:f>'Pivot report'!$C$39</c:f>
              <c:strCache>
                <c:ptCount val="1"/>
                <c:pt idx="0">
                  <c:v>Count of Patient Admission2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no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report'!$A$40:$A$42</c:f>
              <c:strCache>
                <c:ptCount val="2"/>
                <c:pt idx="0">
                  <c:v>Admitted</c:v>
                </c:pt>
                <c:pt idx="1">
                  <c:v>Not Admitted</c:v>
                </c:pt>
              </c:strCache>
            </c:strRef>
          </c:cat>
          <c:val>
            <c:numRef>
              <c:f>'Pivot report'!$C$40:$C$42</c:f>
              <c:numCache>
                <c:formatCode>0.00%</c:formatCode>
                <c:ptCount val="2"/>
                <c:pt idx="0">
                  <c:v>0.52436647173489281</c:v>
                </c:pt>
                <c:pt idx="1">
                  <c:v>0.47563352826510719</c:v>
                </c:pt>
              </c:numCache>
            </c:numRef>
          </c:val>
          <c:extLst>
            <c:ext xmlns:c16="http://schemas.microsoft.com/office/drawing/2014/chart" uri="{C3380CC4-5D6E-409C-BE32-E72D297353CC}">
              <c16:uniqueId val="{00000006-E3E1-4D0B-BC1F-99AC42CF6DB5}"/>
            </c:ext>
          </c:extLst>
        </c:ser>
        <c:dLbls>
          <c:dLblPos val="outEnd"/>
          <c:showLegendKey val="0"/>
          <c:showVal val="1"/>
          <c:showCatName val="0"/>
          <c:showSerName val="0"/>
          <c:showPercent val="0"/>
          <c:showBubbleSize val="0"/>
        </c:dLbls>
        <c:gapWidth val="182"/>
        <c:axId val="1978829808"/>
        <c:axId val="1914352560"/>
      </c:barChart>
      <c:catAx>
        <c:axId val="1978829808"/>
        <c:scaling>
          <c:orientation val="minMax"/>
        </c:scaling>
        <c:delete val="1"/>
        <c:axPos val="l"/>
        <c:numFmt formatCode="General" sourceLinked="1"/>
        <c:majorTickMark val="none"/>
        <c:minorTickMark val="none"/>
        <c:tickLblPos val="nextTo"/>
        <c:crossAx val="1914352560"/>
        <c:crosses val="autoZero"/>
        <c:auto val="1"/>
        <c:lblAlgn val="ctr"/>
        <c:lblOffset val="100"/>
        <c:noMultiLvlLbl val="0"/>
      </c:catAx>
      <c:valAx>
        <c:axId val="1914352560"/>
        <c:scaling>
          <c:orientation val="minMax"/>
        </c:scaling>
        <c:delete val="1"/>
        <c:axPos val="b"/>
        <c:numFmt formatCode="0.00" sourceLinked="1"/>
        <c:majorTickMark val="none"/>
        <c:minorTickMark val="none"/>
        <c:tickLblPos val="nextTo"/>
        <c:crossAx val="197882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report!PivotTable4</c:name>
    <c:fmtId val="8"/>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29E-2"/>
          <c:y val="0.13957307060755336"/>
          <c:w val="0.84722222222222221"/>
          <c:h val="0.819376026272578"/>
        </c:manualLayout>
      </c:layout>
      <c:areaChart>
        <c:grouping val="standard"/>
        <c:varyColors val="0"/>
        <c:ser>
          <c:idx val="0"/>
          <c:order val="0"/>
          <c:tx>
            <c:strRef>
              <c:f>'Pivot report'!$F$4</c:f>
              <c:strCache>
                <c:ptCount val="1"/>
                <c:pt idx="0">
                  <c:v>Total</c:v>
                </c:pt>
              </c:strCache>
            </c:strRef>
          </c:tx>
          <c:spPr>
            <a:solidFill>
              <a:schemeClr val="bg2">
                <a:lumMod val="75000"/>
              </a:schemeClr>
            </a:solidFill>
            <a:ln w="25400">
              <a:noFill/>
            </a:ln>
            <a:effectLst/>
          </c:spPr>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CCE4-4299-B701-850031C8A348}"/>
            </c:ext>
          </c:extLst>
        </c:ser>
        <c:dLbls>
          <c:showLegendKey val="0"/>
          <c:showVal val="0"/>
          <c:showCatName val="0"/>
          <c:showSerName val="0"/>
          <c:showPercent val="0"/>
          <c:showBubbleSize val="0"/>
        </c:dLbls>
        <c:axId val="335255728"/>
        <c:axId val="335260528"/>
      </c:areaChart>
      <c:catAx>
        <c:axId val="335255728"/>
        <c:scaling>
          <c:orientation val="minMax"/>
        </c:scaling>
        <c:delete val="1"/>
        <c:axPos val="b"/>
        <c:numFmt formatCode="General" sourceLinked="1"/>
        <c:majorTickMark val="out"/>
        <c:minorTickMark val="none"/>
        <c:tickLblPos val="nextTo"/>
        <c:crossAx val="335260528"/>
        <c:crosses val="autoZero"/>
        <c:auto val="1"/>
        <c:lblAlgn val="ctr"/>
        <c:lblOffset val="100"/>
        <c:noMultiLvlLbl val="0"/>
      </c:catAx>
      <c:valAx>
        <c:axId val="335260528"/>
        <c:scaling>
          <c:orientation val="minMax"/>
        </c:scaling>
        <c:delete val="1"/>
        <c:axPos val="l"/>
        <c:numFmt formatCode="General" sourceLinked="1"/>
        <c:majorTickMark val="none"/>
        <c:minorTickMark val="none"/>
        <c:tickLblPos val="nextTo"/>
        <c:crossAx val="335255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0"/>
          <c:w val="0.93888888888888888"/>
          <c:h val="0.77577172645086034"/>
        </c:manualLayout>
      </c:layout>
      <c:areaChart>
        <c:grouping val="standard"/>
        <c:varyColors val="0"/>
        <c:ser>
          <c:idx val="0"/>
          <c:order val="0"/>
          <c:tx>
            <c:strRef>
              <c:f>'Pivot report'!$I$4</c:f>
              <c:strCache>
                <c:ptCount val="1"/>
                <c:pt idx="0">
                  <c:v>Total</c:v>
                </c:pt>
              </c:strCache>
            </c:strRef>
          </c:tx>
          <c:spPr>
            <a:solidFill>
              <a:schemeClr val="bg2">
                <a:lumMod val="75000"/>
              </a:schemeClr>
            </a:solidFill>
            <a:ln w="25400">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A67E-41A7-9498-F47992690057}"/>
            </c:ext>
          </c:extLst>
        </c:ser>
        <c:dLbls>
          <c:showLegendKey val="0"/>
          <c:showVal val="0"/>
          <c:showCatName val="0"/>
          <c:showSerName val="0"/>
          <c:showPercent val="0"/>
          <c:showBubbleSize val="0"/>
        </c:dLbls>
        <c:axId val="1982381808"/>
        <c:axId val="1982382288"/>
      </c:areaChart>
      <c:catAx>
        <c:axId val="1982381808"/>
        <c:scaling>
          <c:orientation val="minMax"/>
        </c:scaling>
        <c:delete val="1"/>
        <c:axPos val="b"/>
        <c:numFmt formatCode="General" sourceLinked="1"/>
        <c:majorTickMark val="out"/>
        <c:minorTickMark val="none"/>
        <c:tickLblPos val="nextTo"/>
        <c:crossAx val="1982382288"/>
        <c:crosses val="autoZero"/>
        <c:auto val="1"/>
        <c:lblAlgn val="ctr"/>
        <c:lblOffset val="100"/>
        <c:noMultiLvlLbl val="0"/>
      </c:catAx>
      <c:valAx>
        <c:axId val="1982382288"/>
        <c:scaling>
          <c:orientation val="minMax"/>
        </c:scaling>
        <c:delete val="1"/>
        <c:axPos val="l"/>
        <c:numFmt formatCode="0.00" sourceLinked="1"/>
        <c:majorTickMark val="none"/>
        <c:minorTickMark val="none"/>
        <c:tickLblPos val="nextTo"/>
        <c:crossAx val="198238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report!PivotTable5</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55555555555557"/>
          <c:y val="0.47222222222222221"/>
          <c:w val="0.58333333333333337"/>
          <c:h val="0.42592592592592593"/>
        </c:manualLayout>
      </c:layout>
      <c:areaChart>
        <c:grouping val="standard"/>
        <c:varyColors val="0"/>
        <c:ser>
          <c:idx val="0"/>
          <c:order val="0"/>
          <c:tx>
            <c:strRef>
              <c:f>'Pivot report'!$L$4</c:f>
              <c:strCache>
                <c:ptCount val="1"/>
                <c:pt idx="0">
                  <c:v>Total</c:v>
                </c:pt>
              </c:strCache>
            </c:strRef>
          </c:tx>
          <c:spPr>
            <a:solidFill>
              <a:schemeClr val="bg2">
                <a:lumMod val="75000"/>
              </a:schemeClr>
            </a:solidFill>
            <a:ln w="25400">
              <a:noFill/>
            </a:ln>
            <a:effectLst/>
          </c:spPr>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79B5-4278-B6C3-29110FA0D385}"/>
            </c:ext>
          </c:extLst>
        </c:ser>
        <c:dLbls>
          <c:showLegendKey val="0"/>
          <c:showVal val="0"/>
          <c:showCatName val="0"/>
          <c:showSerName val="0"/>
          <c:showPercent val="0"/>
          <c:showBubbleSize val="0"/>
        </c:dLbls>
        <c:axId val="21356496"/>
        <c:axId val="21357936"/>
      </c:areaChart>
      <c:catAx>
        <c:axId val="21356496"/>
        <c:scaling>
          <c:orientation val="minMax"/>
        </c:scaling>
        <c:delete val="1"/>
        <c:axPos val="b"/>
        <c:numFmt formatCode="General" sourceLinked="1"/>
        <c:majorTickMark val="out"/>
        <c:minorTickMark val="none"/>
        <c:tickLblPos val="nextTo"/>
        <c:crossAx val="21357936"/>
        <c:crosses val="autoZero"/>
        <c:auto val="1"/>
        <c:lblAlgn val="ctr"/>
        <c:lblOffset val="100"/>
        <c:noMultiLvlLbl val="0"/>
      </c:catAx>
      <c:valAx>
        <c:axId val="21357936"/>
        <c:scaling>
          <c:orientation val="minMax"/>
        </c:scaling>
        <c:delete val="1"/>
        <c:axPos val="l"/>
        <c:numFmt formatCode="0.00" sourceLinked="1"/>
        <c:majorTickMark val="none"/>
        <c:minorTickMark val="none"/>
        <c:tickLblPos val="nextTo"/>
        <c:crossAx val="21356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report!PivotTable8</c:name>
    <c:fmtId val="6"/>
  </c:pivotSource>
  <c:chart>
    <c:autoTitleDeleted val="1"/>
    <c:pivotFmts>
      <c:pivotFmt>
        <c:idx val="0"/>
        <c:spPr>
          <a:solidFill>
            <a:schemeClr val="dk1">
              <a:tint val="88500"/>
            </a:schemeClr>
          </a:solidFill>
          <a:ln>
            <a:noFill/>
          </a:ln>
          <a:effectLst/>
        </c:spPr>
        <c:marker>
          <c:symbol val="none"/>
        </c:marker>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solidFill>
              <a:schemeClr val="dk1"/>
            </a:solidFill>
            <a:ln w="12700" cap="flat" cmpd="sng" algn="ctr">
              <a:solidFill>
                <a:schemeClr val="dk1">
                  <a:shade val="15000"/>
                </a:schemeClr>
              </a:solidFill>
              <a:prstDash val="solid"/>
              <a:miter lim="800000"/>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70075101097633E-3"/>
          <c:y val="2.403846153846154E-2"/>
          <c:w val="0.99422299248989021"/>
          <c:h val="0.83014208560468405"/>
        </c:manualLayout>
      </c:layout>
      <c:barChart>
        <c:barDir val="col"/>
        <c:grouping val="clustered"/>
        <c:varyColors val="0"/>
        <c:ser>
          <c:idx val="0"/>
          <c:order val="0"/>
          <c:tx>
            <c:strRef>
              <c:f>'Pivot report'!$B$53</c:f>
              <c:strCache>
                <c:ptCount val="1"/>
                <c:pt idx="0">
                  <c:v>Total</c:v>
                </c:pt>
              </c:strCache>
            </c:strRef>
          </c:tx>
          <c:spPr>
            <a:solidFill>
              <a:schemeClr val="bg2">
                <a:lumMod val="75000"/>
              </a:schemeClr>
            </a:solidFill>
            <a:ln>
              <a:noFill/>
            </a:ln>
            <a:effectLst/>
          </c:spPr>
          <c:invertIfNegative val="0"/>
          <c:dLbls>
            <c:spPr>
              <a:solidFill>
                <a:schemeClr val="dk1"/>
              </a:solidFill>
              <a:ln w="12700" cap="flat" cmpd="sng" algn="ctr">
                <a:solidFill>
                  <a:schemeClr val="dk1">
                    <a:shade val="15000"/>
                  </a:schemeClr>
                </a:solidFill>
                <a:prstDash val="solid"/>
                <a:miter lim="800000"/>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0-9</c:v>
                </c:pt>
                <c:pt idx="1">
                  <c:v>10-19</c:v>
                </c:pt>
                <c:pt idx="2">
                  <c:v>20-29</c:v>
                </c:pt>
                <c:pt idx="3">
                  <c:v>30-39</c:v>
                </c:pt>
                <c:pt idx="4">
                  <c:v>40-49</c:v>
                </c:pt>
                <c:pt idx="5">
                  <c:v>50-59</c:v>
                </c:pt>
                <c:pt idx="6">
                  <c:v>60-69</c:v>
                </c:pt>
                <c:pt idx="7">
                  <c:v>70-79</c:v>
                </c:pt>
              </c:strCache>
            </c:strRef>
          </c:cat>
          <c:val>
            <c:numRef>
              <c:f>'Pivot report'!$B$54:$B$62</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F98F-472D-BB2B-B078429D4518}"/>
            </c:ext>
          </c:extLst>
        </c:ser>
        <c:dLbls>
          <c:showLegendKey val="0"/>
          <c:showVal val="0"/>
          <c:showCatName val="0"/>
          <c:showSerName val="0"/>
          <c:showPercent val="0"/>
          <c:showBubbleSize val="0"/>
        </c:dLbls>
        <c:gapWidth val="219"/>
        <c:overlap val="-27"/>
        <c:axId val="752277120"/>
        <c:axId val="752275200"/>
      </c:barChart>
      <c:catAx>
        <c:axId val="75227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2275200"/>
        <c:crosses val="autoZero"/>
        <c:auto val="1"/>
        <c:lblAlgn val="ctr"/>
        <c:lblOffset val="100"/>
        <c:noMultiLvlLbl val="0"/>
      </c:catAx>
      <c:valAx>
        <c:axId val="752275200"/>
        <c:scaling>
          <c:orientation val="minMax"/>
        </c:scaling>
        <c:delete val="1"/>
        <c:axPos val="l"/>
        <c:numFmt formatCode="General" sourceLinked="1"/>
        <c:majorTickMark val="none"/>
        <c:minorTickMark val="none"/>
        <c:tickLblPos val="nextTo"/>
        <c:crossAx val="75227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report!PivotTable11</c:name>
    <c:fmtId val="17"/>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tx1"/>
          </a:solidFill>
          <a:ln w="19050">
            <a:solidFill>
              <a:schemeClr val="lt1"/>
            </a:solidFill>
          </a:ln>
          <a:effectLst/>
        </c:spPr>
      </c:pivotFmt>
      <c:pivotFmt>
        <c:idx val="2"/>
        <c:spPr>
          <a:solidFill>
            <a:schemeClr val="bg2">
              <a:lumMod val="50000"/>
            </a:schemeClr>
          </a:solidFill>
          <a:ln w="19050">
            <a:solidFill>
              <a:schemeClr val="lt1"/>
            </a:solidFill>
          </a:ln>
          <a:effectLst/>
        </c:spPr>
      </c:pivotFmt>
      <c:pivotFmt>
        <c:idx val="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tx1"/>
          </a:solidFill>
          <a:ln w="19050">
            <a:solidFill>
              <a:schemeClr val="lt1"/>
            </a:solidFill>
          </a:ln>
          <a:effectLst/>
        </c:spPr>
      </c:pivotFmt>
      <c:pivotFmt>
        <c:idx val="5"/>
        <c:spPr>
          <a:solidFill>
            <a:schemeClr val="bg2">
              <a:lumMod val="500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horzOverflow="clip" vert="horz"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tx1"/>
          </a:solidFill>
          <a:ln w="19050">
            <a:solidFill>
              <a:schemeClr val="lt1"/>
            </a:solidFill>
          </a:ln>
          <a:effectLst/>
        </c:spPr>
      </c:pivotFmt>
      <c:pivotFmt>
        <c:idx val="8"/>
        <c:spPr>
          <a:solidFill>
            <a:schemeClr val="bg2">
              <a:lumMod val="50000"/>
            </a:schemeClr>
          </a:solidFill>
          <a:ln w="19050">
            <a:solidFill>
              <a:schemeClr val="lt1"/>
            </a:solidFill>
          </a:ln>
          <a:effectLst/>
        </c:spPr>
      </c:pivotFmt>
    </c:pivotFmts>
    <c:plotArea>
      <c:layout/>
      <c:pieChart>
        <c:varyColors val="1"/>
        <c:ser>
          <c:idx val="0"/>
          <c:order val="0"/>
          <c:tx>
            <c:strRef>
              <c:f>'Pivot report'!$H$40</c:f>
              <c:strCache>
                <c:ptCount val="1"/>
                <c:pt idx="0">
                  <c:v>Total</c:v>
                </c:pt>
              </c:strCache>
            </c:strRef>
          </c:tx>
          <c:dPt>
            <c:idx val="0"/>
            <c:bubble3D val="0"/>
            <c:spPr>
              <a:solidFill>
                <a:schemeClr val="tx1"/>
              </a:solidFill>
              <a:ln w="19050">
                <a:solidFill>
                  <a:schemeClr val="lt1"/>
                </a:solidFill>
              </a:ln>
              <a:effectLst/>
            </c:spPr>
          </c:dPt>
          <c:dPt>
            <c:idx val="1"/>
            <c:bubble3D val="0"/>
            <c:spPr>
              <a:solidFill>
                <a:schemeClr val="bg2">
                  <a:lumMod val="50000"/>
                </a:schemeClr>
              </a:solidFill>
              <a:ln w="19050">
                <a:solidFill>
                  <a:schemeClr val="lt1"/>
                </a:solidFill>
              </a:ln>
              <a:effectLst/>
            </c:spPr>
          </c:dPt>
          <c:dLbls>
            <c:spPr>
              <a:noFill/>
              <a:ln>
                <a:noFill/>
              </a:ln>
              <a:effectLst/>
            </c:spPr>
            <c:txPr>
              <a:bodyPr rot="0" spcFirstLastPara="1" vertOverflow="ellipsis" horzOverflow="clip" vert="horz"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report'!$G$41:$G$43</c:f>
              <c:strCache>
                <c:ptCount val="2"/>
                <c:pt idx="0">
                  <c:v>Delay</c:v>
                </c:pt>
                <c:pt idx="1">
                  <c:v>On-Time</c:v>
                </c:pt>
              </c:strCache>
            </c:strRef>
          </c:cat>
          <c:val>
            <c:numRef>
              <c:f>'Pivot report'!$H$41:$H$43</c:f>
              <c:numCache>
                <c:formatCode>0%</c:formatCode>
                <c:ptCount val="2"/>
                <c:pt idx="0">
                  <c:v>0.61598440545808963</c:v>
                </c:pt>
                <c:pt idx="1">
                  <c:v>0.38401559454191031</c:v>
                </c:pt>
              </c:numCache>
            </c:numRef>
          </c:val>
          <c:extLst>
            <c:ext xmlns:c16="http://schemas.microsoft.com/office/drawing/2014/chart" uri="{C3380CC4-5D6E-409C-BE32-E72D297353CC}">
              <c16:uniqueId val="{00000006-4BBA-436B-A699-8BD971B14D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3687524431786448"/>
          <c:y val="0.86433945756780406"/>
          <c:w val="0.33945279778857423"/>
          <c:h val="0.12434383202099737"/>
        </c:manualLayout>
      </c:layout>
      <c:overlay val="1"/>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report!PivotTable10</c:name>
    <c:fmtId val="22"/>
  </c:pivotSource>
  <c:chart>
    <c:autoTitleDeleted val="1"/>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pivotFmt>
      <c:pivotFmt>
        <c:idx val="2"/>
        <c:spPr>
          <a:solidFill>
            <a:schemeClr val="bg2">
              <a:lumMod val="50000"/>
            </a:schemeClr>
          </a:solidFill>
          <a:ln w="19050">
            <a:solidFill>
              <a:schemeClr val="lt1"/>
            </a:solidFill>
          </a:ln>
          <a:effectLst/>
        </c:spPr>
      </c:pivotFmt>
      <c:pivotFmt>
        <c:idx val="3"/>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solidFill>
              <a:schemeClr val="lt1"/>
            </a:solidFill>
          </a:ln>
          <a:effectLst/>
        </c:spPr>
      </c:pivotFmt>
      <c:pivotFmt>
        <c:idx val="5"/>
        <c:spPr>
          <a:solidFill>
            <a:schemeClr val="bg2">
              <a:lumMod val="500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pivotFmt>
      <c:pivotFmt>
        <c:idx val="8"/>
        <c:spPr>
          <a:solidFill>
            <a:schemeClr val="bg2">
              <a:lumMod val="50000"/>
            </a:schemeClr>
          </a:solidFill>
          <a:ln w="19050">
            <a:solidFill>
              <a:schemeClr val="lt1"/>
            </a:solidFill>
          </a:ln>
          <a:effectLst/>
        </c:spPr>
      </c:pivotFmt>
    </c:pivotFmts>
    <c:plotArea>
      <c:layout/>
      <c:doughnutChart>
        <c:varyColors val="1"/>
        <c:ser>
          <c:idx val="0"/>
          <c:order val="0"/>
          <c:tx>
            <c:strRef>
              <c:f>'Pivot report'!$K$40</c:f>
              <c:strCache>
                <c:ptCount val="1"/>
                <c:pt idx="0">
                  <c:v>Total</c:v>
                </c:pt>
              </c:strCache>
            </c:strRef>
          </c:tx>
          <c:dPt>
            <c:idx val="0"/>
            <c:bubble3D val="0"/>
            <c:spPr>
              <a:solidFill>
                <a:schemeClr val="tx1"/>
              </a:solidFill>
              <a:ln w="19050">
                <a:solidFill>
                  <a:schemeClr val="lt1"/>
                </a:solidFill>
              </a:ln>
              <a:effectLst/>
            </c:spPr>
          </c:dPt>
          <c:dPt>
            <c:idx val="1"/>
            <c:bubble3D val="0"/>
            <c:spPr>
              <a:solidFill>
                <a:schemeClr val="bg2">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report'!$J$41:$J$43</c:f>
              <c:strCache>
                <c:ptCount val="2"/>
                <c:pt idx="0">
                  <c:v>Female</c:v>
                </c:pt>
                <c:pt idx="1">
                  <c:v>Male</c:v>
                </c:pt>
              </c:strCache>
            </c:strRef>
          </c:cat>
          <c:val>
            <c:numRef>
              <c:f>'Pivot report'!$K$41:$K$43</c:f>
              <c:numCache>
                <c:formatCode>0</c:formatCode>
                <c:ptCount val="2"/>
                <c:pt idx="0">
                  <c:v>241</c:v>
                </c:pt>
                <c:pt idx="1">
                  <c:v>272</c:v>
                </c:pt>
              </c:numCache>
            </c:numRef>
          </c:val>
          <c:extLst>
            <c:ext xmlns:c16="http://schemas.microsoft.com/office/drawing/2014/chart" uri="{C3380CC4-5D6E-409C-BE32-E72D297353CC}">
              <c16:uniqueId val="{00000006-8857-4CED-8DFC-2433D5D8A3E5}"/>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layout>
        <c:manualLayout>
          <c:xMode val="edge"/>
          <c:yMode val="edge"/>
          <c:x val="0.36746241947029351"/>
          <c:y val="0.86280391780295751"/>
          <c:w val="0.26191428452395832"/>
          <c:h val="0.12201964824490397"/>
        </c:manualLayout>
      </c:layout>
      <c:overlay val="1"/>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solidFill>
              <a:schemeClr val="dk1"/>
            </a:solidFill>
            <a:ln w="12700" cap="flat" cmpd="sng" algn="ctr">
              <a:solidFill>
                <a:schemeClr val="dk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report'!$F$53</c:f>
              <c:strCache>
                <c:ptCount val="1"/>
                <c:pt idx="0">
                  <c:v>Total</c:v>
                </c:pt>
              </c:strCache>
            </c:strRef>
          </c:tx>
          <c:spPr>
            <a:solidFill>
              <a:schemeClr val="bg1">
                <a:lumMod val="75000"/>
              </a:schemeClr>
            </a:solidFill>
            <a:ln>
              <a:noFill/>
            </a:ln>
            <a:effectLst/>
          </c:spPr>
          <c:invertIfNegative val="0"/>
          <c:dLbls>
            <c:spPr>
              <a:solidFill>
                <a:schemeClr val="dk1"/>
              </a:solidFill>
              <a:ln w="12700" cap="flat" cmpd="sng" algn="ctr">
                <a:solidFill>
                  <a:schemeClr val="dk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report'!$E$54:$E$62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report'!$F$54:$F$62</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8B7F-4FB8-8B31-611660209554}"/>
            </c:ext>
          </c:extLst>
        </c:ser>
        <c:dLbls>
          <c:dLblPos val="outEnd"/>
          <c:showLegendKey val="0"/>
          <c:showVal val="1"/>
          <c:showCatName val="0"/>
          <c:showSerName val="0"/>
          <c:showPercent val="0"/>
          <c:showBubbleSize val="0"/>
        </c:dLbls>
        <c:gapWidth val="182"/>
        <c:axId val="1213449503"/>
        <c:axId val="1213451423"/>
      </c:barChart>
      <c:catAx>
        <c:axId val="1213449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3451423"/>
        <c:crosses val="autoZero"/>
        <c:auto val="1"/>
        <c:lblAlgn val="ctr"/>
        <c:lblOffset val="100"/>
        <c:noMultiLvlLbl val="0"/>
      </c:catAx>
      <c:valAx>
        <c:axId val="12134514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344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report!PivotTable4</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trend of patients visiting 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pivotFmt>
      <c:pivotFmt>
        <c:idx val="8"/>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pivotFmt>
    </c:pivotFmts>
    <c:plotArea>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report'!$E$5:$E$36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report'!$F$5:$F$36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A49A-4CB1-80C9-504558D0B1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5255728"/>
        <c:axId val="335260528"/>
      </c:areaChart>
      <c:catAx>
        <c:axId val="335255728"/>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5260528"/>
        <c:crosses val="autoZero"/>
        <c:auto val="1"/>
        <c:lblAlgn val="ctr"/>
        <c:lblOffset val="100"/>
        <c:noMultiLvlLbl val="0"/>
      </c:catAx>
      <c:valAx>
        <c:axId val="335260528"/>
        <c:scaling>
          <c:orientation val="minMax"/>
        </c:scaling>
        <c:delete val="1"/>
        <c:axPos val="l"/>
        <c:numFmt formatCode="General" sourceLinked="1"/>
        <c:majorTickMark val="out"/>
        <c:minorTickMark val="none"/>
        <c:tickLblPos val="nextTo"/>
        <c:crossAx val="335255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report!PivotTable6</c:name>
    <c:fmtId val="1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average waiting time for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66BA-4A66-90E9-9F1F074492E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82381808"/>
        <c:axId val="1982382288"/>
      </c:areaChart>
      <c:catAx>
        <c:axId val="1982381808"/>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2382288"/>
        <c:crosses val="autoZero"/>
        <c:auto val="1"/>
        <c:lblAlgn val="ctr"/>
        <c:lblOffset val="100"/>
        <c:noMultiLvlLbl val="0"/>
      </c:catAx>
      <c:valAx>
        <c:axId val="1982382288"/>
        <c:scaling>
          <c:orientation val="minMax"/>
        </c:scaling>
        <c:delete val="1"/>
        <c:axPos val="l"/>
        <c:numFmt formatCode="0.00" sourceLinked="1"/>
        <c:majorTickMark val="out"/>
        <c:minorTickMark val="none"/>
        <c:tickLblPos val="nextTo"/>
        <c:crossAx val="198238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ER Dashboard.xlsx]Pivot report!PivotTable5</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daily satisfaction score of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A838-4CD1-8DA1-9651923DD41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356496"/>
        <c:axId val="21357936"/>
      </c:areaChart>
      <c:catAx>
        <c:axId val="21356496"/>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57936"/>
        <c:crosses val="autoZero"/>
        <c:auto val="1"/>
        <c:lblAlgn val="ctr"/>
        <c:lblOffset val="100"/>
        <c:noMultiLvlLbl val="0"/>
      </c:catAx>
      <c:valAx>
        <c:axId val="21357936"/>
        <c:scaling>
          <c:orientation val="minMax"/>
        </c:scaling>
        <c:delete val="1"/>
        <c:axPos val="l"/>
        <c:numFmt formatCode="0.00" sourceLinked="1"/>
        <c:majorTickMark val="out"/>
        <c:minorTickMark val="none"/>
        <c:tickLblPos val="nextTo"/>
        <c:crossAx val="21356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Patients visiting ER each day'!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patient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ing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868680</xdr:colOff>
      <xdr:row>45</xdr:row>
      <xdr:rowOff>144780</xdr:rowOff>
    </xdr:from>
    <xdr:to>
      <xdr:col>3</xdr:col>
      <xdr:colOff>1379220</xdr:colOff>
      <xdr:row>48</xdr:row>
      <xdr:rowOff>53340</xdr:rowOff>
    </xdr:to>
    <xdr:graphicFrame macro="">
      <xdr:nvGraphicFramePr>
        <xdr:cNvPr id="4" name="Chart 3">
          <a:extLst>
            <a:ext uri="{FF2B5EF4-FFF2-40B4-BE49-F238E27FC236}">
              <a16:creationId xmlns:a16="http://schemas.microsoft.com/office/drawing/2014/main" id="{A659EB67-1BB3-3E77-0077-9EAB617FC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243840</xdr:colOff>
      <xdr:row>1</xdr:row>
      <xdr:rowOff>7620</xdr:rowOff>
    </xdr:from>
    <xdr:to>
      <xdr:col>7</xdr:col>
      <xdr:colOff>53340</xdr:colOff>
      <xdr:row>5</xdr:row>
      <xdr:rowOff>15240</xdr:rowOff>
    </xdr:to>
    <xdr:sp macro="" textlink="">
      <xdr:nvSpPr>
        <xdr:cNvPr id="2" name="Rectangle: Rounded Corners 1">
          <a:extLst>
            <a:ext uri="{FF2B5EF4-FFF2-40B4-BE49-F238E27FC236}">
              <a16:creationId xmlns:a16="http://schemas.microsoft.com/office/drawing/2014/main" id="{A924ADD5-6B1A-739A-9A7E-F37EABBA6A25}"/>
            </a:ext>
          </a:extLst>
        </xdr:cNvPr>
        <xdr:cNvSpPr/>
      </xdr:nvSpPr>
      <xdr:spPr>
        <a:xfrm>
          <a:off x="243840" y="190500"/>
          <a:ext cx="4076700" cy="739140"/>
        </a:xfrm>
        <a:prstGeom prst="roundRect">
          <a:avLst>
            <a:gd name="adj" fmla="val 25945"/>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213360</xdr:colOff>
      <xdr:row>1</xdr:row>
      <xdr:rowOff>22860</xdr:rowOff>
    </xdr:from>
    <xdr:to>
      <xdr:col>9</xdr:col>
      <xdr:colOff>586740</xdr:colOff>
      <xdr:row>5</xdr:row>
      <xdr:rowOff>30480</xdr:rowOff>
    </xdr:to>
    <xdr:sp macro="" textlink="">
      <xdr:nvSpPr>
        <xdr:cNvPr id="3" name="Rectangle: Rounded Corners 2">
          <a:extLst>
            <a:ext uri="{FF2B5EF4-FFF2-40B4-BE49-F238E27FC236}">
              <a16:creationId xmlns:a16="http://schemas.microsoft.com/office/drawing/2014/main" id="{B0BB842F-8CF3-A0CB-8393-ABAD02F52F54}"/>
            </a:ext>
          </a:extLst>
        </xdr:cNvPr>
        <xdr:cNvSpPr/>
      </xdr:nvSpPr>
      <xdr:spPr>
        <a:xfrm>
          <a:off x="4480560" y="205740"/>
          <a:ext cx="1592580" cy="739140"/>
        </a:xfrm>
        <a:prstGeom prst="roundRect">
          <a:avLst>
            <a:gd name="adj" fmla="val 8419"/>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259080</xdr:colOff>
      <xdr:row>1</xdr:row>
      <xdr:rowOff>22860</xdr:rowOff>
    </xdr:from>
    <xdr:to>
      <xdr:col>13</xdr:col>
      <xdr:colOff>381000</xdr:colOff>
      <xdr:row>9</xdr:row>
      <xdr:rowOff>175260</xdr:rowOff>
    </xdr:to>
    <xdr:sp macro="" textlink="">
      <xdr:nvSpPr>
        <xdr:cNvPr id="4" name="Rectangle: Rounded Corners 3">
          <a:extLst>
            <a:ext uri="{FF2B5EF4-FFF2-40B4-BE49-F238E27FC236}">
              <a16:creationId xmlns:a16="http://schemas.microsoft.com/office/drawing/2014/main" id="{1CCA3BF6-7C0C-0CAC-7F5A-D353F527BDC6}"/>
            </a:ext>
          </a:extLst>
        </xdr:cNvPr>
        <xdr:cNvSpPr/>
      </xdr:nvSpPr>
      <xdr:spPr>
        <a:xfrm>
          <a:off x="6355080" y="205740"/>
          <a:ext cx="1950720" cy="1615440"/>
        </a:xfrm>
        <a:prstGeom prst="roundRect">
          <a:avLst>
            <a:gd name="adj" fmla="val 12737"/>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586740</xdr:colOff>
      <xdr:row>1</xdr:row>
      <xdr:rowOff>22860</xdr:rowOff>
    </xdr:from>
    <xdr:to>
      <xdr:col>17</xdr:col>
      <xdr:colOff>121920</xdr:colOff>
      <xdr:row>9</xdr:row>
      <xdr:rowOff>175260</xdr:rowOff>
    </xdr:to>
    <xdr:sp macro="" textlink="">
      <xdr:nvSpPr>
        <xdr:cNvPr id="5" name="Rectangle: Rounded Corners 4">
          <a:extLst>
            <a:ext uri="{FF2B5EF4-FFF2-40B4-BE49-F238E27FC236}">
              <a16:creationId xmlns:a16="http://schemas.microsoft.com/office/drawing/2014/main" id="{04BB02F2-728E-91FD-0A47-7323C06C52E8}"/>
            </a:ext>
          </a:extLst>
        </xdr:cNvPr>
        <xdr:cNvSpPr/>
      </xdr:nvSpPr>
      <xdr:spPr>
        <a:xfrm>
          <a:off x="8511540" y="205740"/>
          <a:ext cx="1973580" cy="1615440"/>
        </a:xfrm>
        <a:prstGeom prst="roundRect">
          <a:avLst>
            <a:gd name="adj" fmla="val 12737"/>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236220</xdr:colOff>
      <xdr:row>6</xdr:row>
      <xdr:rowOff>7620</xdr:rowOff>
    </xdr:from>
    <xdr:to>
      <xdr:col>1</xdr:col>
      <xdr:colOff>556260</xdr:colOff>
      <xdr:row>28</xdr:row>
      <xdr:rowOff>137160</xdr:rowOff>
    </xdr:to>
    <xdr:sp macro="" textlink="">
      <xdr:nvSpPr>
        <xdr:cNvPr id="6" name="Rectangle: Rounded Corners 5">
          <a:extLst>
            <a:ext uri="{FF2B5EF4-FFF2-40B4-BE49-F238E27FC236}">
              <a16:creationId xmlns:a16="http://schemas.microsoft.com/office/drawing/2014/main" id="{EB2FC5AE-59C6-35DC-09AC-0D76DA3B8F79}"/>
            </a:ext>
          </a:extLst>
        </xdr:cNvPr>
        <xdr:cNvSpPr/>
      </xdr:nvSpPr>
      <xdr:spPr>
        <a:xfrm rot="5400000">
          <a:off x="-1375410" y="2716530"/>
          <a:ext cx="4152900" cy="929640"/>
        </a:xfrm>
        <a:prstGeom prst="roundRect">
          <a:avLst>
            <a:gd name="adj" fmla="val 10321"/>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152399</xdr:colOff>
      <xdr:row>6</xdr:row>
      <xdr:rowOff>15241</xdr:rowOff>
    </xdr:from>
    <xdr:to>
      <xdr:col>9</xdr:col>
      <xdr:colOff>586740</xdr:colOff>
      <xdr:row>13</xdr:row>
      <xdr:rowOff>60961</xdr:rowOff>
    </xdr:to>
    <xdr:grpSp>
      <xdr:nvGrpSpPr>
        <xdr:cNvPr id="40" name="Group 39">
          <a:extLst>
            <a:ext uri="{FF2B5EF4-FFF2-40B4-BE49-F238E27FC236}">
              <a16:creationId xmlns:a16="http://schemas.microsoft.com/office/drawing/2014/main" id="{CCEFBD90-2185-C7D0-AA47-62E743693596}"/>
            </a:ext>
          </a:extLst>
        </xdr:cNvPr>
        <xdr:cNvGrpSpPr/>
      </xdr:nvGrpSpPr>
      <xdr:grpSpPr>
        <a:xfrm>
          <a:off x="1371599" y="1112521"/>
          <a:ext cx="4701541" cy="1325880"/>
          <a:chOff x="1371599" y="1112521"/>
          <a:chExt cx="4701541" cy="1325880"/>
        </a:xfrm>
      </xdr:grpSpPr>
      <xdr:sp macro="" textlink="">
        <xdr:nvSpPr>
          <xdr:cNvPr id="7" name="Rectangle: Rounded Corners 6">
            <a:extLst>
              <a:ext uri="{FF2B5EF4-FFF2-40B4-BE49-F238E27FC236}">
                <a16:creationId xmlns:a16="http://schemas.microsoft.com/office/drawing/2014/main" id="{42B0FE3E-7A71-7055-4A12-A41628F7CA06}"/>
              </a:ext>
            </a:extLst>
          </xdr:cNvPr>
          <xdr:cNvSpPr/>
        </xdr:nvSpPr>
        <xdr:spPr>
          <a:xfrm rot="5400000">
            <a:off x="1422820" y="1061300"/>
            <a:ext cx="1325880" cy="1428321"/>
          </a:xfrm>
          <a:prstGeom prst="roundRect">
            <a:avLst>
              <a:gd name="adj" fmla="val 10321"/>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067A343-804B-FC48-BF78-5E3EA4F3D5FA}"/>
              </a:ext>
            </a:extLst>
          </xdr:cNvPr>
          <xdr:cNvSpPr/>
        </xdr:nvSpPr>
        <xdr:spPr>
          <a:xfrm rot="5400000">
            <a:off x="3067050" y="1061300"/>
            <a:ext cx="1325880" cy="1428321"/>
          </a:xfrm>
          <a:prstGeom prst="roundRect">
            <a:avLst>
              <a:gd name="adj" fmla="val 10321"/>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E087F66-DD91-AC38-9F3D-863ADC725C31}"/>
              </a:ext>
            </a:extLst>
          </xdr:cNvPr>
          <xdr:cNvSpPr/>
        </xdr:nvSpPr>
        <xdr:spPr>
          <a:xfrm rot="5400000">
            <a:off x="4696040" y="1061300"/>
            <a:ext cx="1325880" cy="1428321"/>
          </a:xfrm>
          <a:prstGeom prst="roundRect">
            <a:avLst>
              <a:gd name="adj" fmla="val 10321"/>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2</xdr:col>
      <xdr:colOff>144779</xdr:colOff>
      <xdr:row>18</xdr:row>
      <xdr:rowOff>167640</xdr:rowOff>
    </xdr:from>
    <xdr:to>
      <xdr:col>9</xdr:col>
      <xdr:colOff>586739</xdr:colOff>
      <xdr:row>28</xdr:row>
      <xdr:rowOff>129542</xdr:rowOff>
    </xdr:to>
    <xdr:sp macro="" textlink="">
      <xdr:nvSpPr>
        <xdr:cNvPr id="22" name="Rectangle: Rounded Corners 21">
          <a:extLst>
            <a:ext uri="{FF2B5EF4-FFF2-40B4-BE49-F238E27FC236}">
              <a16:creationId xmlns:a16="http://schemas.microsoft.com/office/drawing/2014/main" id="{4E8CC0CA-466D-4EB9-95B1-389534D5F6EC}"/>
            </a:ext>
          </a:extLst>
        </xdr:cNvPr>
        <xdr:cNvSpPr/>
      </xdr:nvSpPr>
      <xdr:spPr>
        <a:xfrm rot="5400000">
          <a:off x="2823208" y="2000251"/>
          <a:ext cx="1790702" cy="4709160"/>
        </a:xfrm>
        <a:prstGeom prst="roundRect">
          <a:avLst>
            <a:gd name="adj" fmla="val 6066"/>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160021</xdr:colOff>
      <xdr:row>14</xdr:row>
      <xdr:rowOff>121922</xdr:rowOff>
    </xdr:from>
    <xdr:to>
      <xdr:col>9</xdr:col>
      <xdr:colOff>594364</xdr:colOff>
      <xdr:row>17</xdr:row>
      <xdr:rowOff>137164</xdr:rowOff>
    </xdr:to>
    <xdr:sp macro="" textlink="">
      <xdr:nvSpPr>
        <xdr:cNvPr id="23" name="Rectangle: Rounded Corners 22">
          <a:extLst>
            <a:ext uri="{FF2B5EF4-FFF2-40B4-BE49-F238E27FC236}">
              <a16:creationId xmlns:a16="http://schemas.microsoft.com/office/drawing/2014/main" id="{CFEE4BDB-7797-5F13-66CC-33069647F20B}"/>
            </a:ext>
          </a:extLst>
        </xdr:cNvPr>
        <xdr:cNvSpPr/>
      </xdr:nvSpPr>
      <xdr:spPr>
        <a:xfrm rot="5400000">
          <a:off x="3448052" y="613411"/>
          <a:ext cx="563882" cy="4701543"/>
        </a:xfrm>
        <a:prstGeom prst="roundRect">
          <a:avLst>
            <a:gd name="adj" fmla="val 6066"/>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259080</xdr:colOff>
      <xdr:row>11</xdr:row>
      <xdr:rowOff>15240</xdr:rowOff>
    </xdr:from>
    <xdr:to>
      <xdr:col>17</xdr:col>
      <xdr:colOff>144780</xdr:colOff>
      <xdr:row>28</xdr:row>
      <xdr:rowOff>129540</xdr:rowOff>
    </xdr:to>
    <xdr:sp macro="" textlink="">
      <xdr:nvSpPr>
        <xdr:cNvPr id="26" name="Rectangle: Rounded Corners 25">
          <a:extLst>
            <a:ext uri="{FF2B5EF4-FFF2-40B4-BE49-F238E27FC236}">
              <a16:creationId xmlns:a16="http://schemas.microsoft.com/office/drawing/2014/main" id="{C4C4E4C1-772A-8049-3F7B-BA29640BAC70}"/>
            </a:ext>
          </a:extLst>
        </xdr:cNvPr>
        <xdr:cNvSpPr/>
      </xdr:nvSpPr>
      <xdr:spPr>
        <a:xfrm>
          <a:off x="6355080" y="2026920"/>
          <a:ext cx="4152900" cy="3223260"/>
        </a:xfrm>
        <a:prstGeom prst="roundRect">
          <a:avLst>
            <a:gd name="adj" fmla="val 3281"/>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15240</xdr:colOff>
      <xdr:row>1</xdr:row>
      <xdr:rowOff>121920</xdr:rowOff>
    </xdr:from>
    <xdr:to>
      <xdr:col>7</xdr:col>
      <xdr:colOff>335280</xdr:colOff>
      <xdr:row>3</xdr:row>
      <xdr:rowOff>167640</xdr:rowOff>
    </xdr:to>
    <xdr:sp macro="" textlink="">
      <xdr:nvSpPr>
        <xdr:cNvPr id="30" name="TextBox 29">
          <a:extLst>
            <a:ext uri="{FF2B5EF4-FFF2-40B4-BE49-F238E27FC236}">
              <a16:creationId xmlns:a16="http://schemas.microsoft.com/office/drawing/2014/main" id="{3B055EB1-6540-D3FD-314B-88E55174E009}"/>
            </a:ext>
          </a:extLst>
        </xdr:cNvPr>
        <xdr:cNvSpPr txBox="1"/>
      </xdr:nvSpPr>
      <xdr:spPr>
        <a:xfrm>
          <a:off x="624840" y="304800"/>
          <a:ext cx="3977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chemeClr val="bg1"/>
              </a:solidFill>
              <a:latin typeface="+mn-lt"/>
            </a:rPr>
            <a:t>HOSPITAL EMERGENCY ROOM DASHBOARD</a:t>
          </a:r>
        </a:p>
      </xdr:txBody>
    </xdr:sp>
    <xdr:clientData/>
  </xdr:twoCellAnchor>
  <xdr:twoCellAnchor editAs="absolute">
    <xdr:from>
      <xdr:col>0</xdr:col>
      <xdr:colOff>533400</xdr:colOff>
      <xdr:row>2</xdr:row>
      <xdr:rowOff>76200</xdr:rowOff>
    </xdr:from>
    <xdr:to>
      <xdr:col>7</xdr:col>
      <xdr:colOff>243840</xdr:colOff>
      <xdr:row>4</xdr:row>
      <xdr:rowOff>121920</xdr:rowOff>
    </xdr:to>
    <xdr:sp macro="" textlink="">
      <xdr:nvSpPr>
        <xdr:cNvPr id="31" name="TextBox 30">
          <a:extLst>
            <a:ext uri="{FF2B5EF4-FFF2-40B4-BE49-F238E27FC236}">
              <a16:creationId xmlns:a16="http://schemas.microsoft.com/office/drawing/2014/main" id="{AD5B4A68-FE8B-F2D8-90EA-055CEFD9E85F}"/>
            </a:ext>
          </a:extLst>
        </xdr:cNvPr>
        <xdr:cNvSpPr txBox="1"/>
      </xdr:nvSpPr>
      <xdr:spPr>
        <a:xfrm>
          <a:off x="533400" y="441960"/>
          <a:ext cx="3977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solidFill>
                <a:schemeClr val="bg1"/>
              </a:solidFill>
              <a:latin typeface="+mn-lt"/>
            </a:rPr>
            <a:t>Monthly Report</a:t>
          </a:r>
        </a:p>
      </xdr:txBody>
    </xdr:sp>
    <xdr:clientData/>
  </xdr:twoCellAnchor>
  <xdr:twoCellAnchor editAs="oneCell">
    <xdr:from>
      <xdr:col>0</xdr:col>
      <xdr:colOff>411481</xdr:colOff>
      <xdr:row>1</xdr:row>
      <xdr:rowOff>106680</xdr:rowOff>
    </xdr:from>
    <xdr:to>
      <xdr:col>1</xdr:col>
      <xdr:colOff>295785</xdr:colOff>
      <xdr:row>4</xdr:row>
      <xdr:rowOff>0</xdr:rowOff>
    </xdr:to>
    <xdr:pic>
      <xdr:nvPicPr>
        <xdr:cNvPr id="33" name="Picture 32">
          <a:extLst>
            <a:ext uri="{FF2B5EF4-FFF2-40B4-BE49-F238E27FC236}">
              <a16:creationId xmlns:a16="http://schemas.microsoft.com/office/drawing/2014/main" id="{79FCE596-8D3E-2DE6-83C7-F0AF500E1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1481" y="289560"/>
          <a:ext cx="493904" cy="441960"/>
        </a:xfrm>
        <a:prstGeom prst="rect">
          <a:avLst/>
        </a:prstGeom>
      </xdr:spPr>
    </xdr:pic>
    <xdr:clientData/>
  </xdr:twoCellAnchor>
  <xdr:twoCellAnchor>
    <xdr:from>
      <xdr:col>2</xdr:col>
      <xdr:colOff>175260</xdr:colOff>
      <xdr:row>6</xdr:row>
      <xdr:rowOff>60960</xdr:rowOff>
    </xdr:from>
    <xdr:to>
      <xdr:col>4</xdr:col>
      <xdr:colOff>525780</xdr:colOff>
      <xdr:row>10</xdr:row>
      <xdr:rowOff>91440</xdr:rowOff>
    </xdr:to>
    <xdr:grpSp>
      <xdr:nvGrpSpPr>
        <xdr:cNvPr id="56" name="Group 55">
          <a:extLst>
            <a:ext uri="{FF2B5EF4-FFF2-40B4-BE49-F238E27FC236}">
              <a16:creationId xmlns:a16="http://schemas.microsoft.com/office/drawing/2014/main" id="{891BCCCD-6F50-E00E-829B-7303B5750A45}"/>
            </a:ext>
          </a:extLst>
        </xdr:cNvPr>
        <xdr:cNvGrpSpPr/>
      </xdr:nvGrpSpPr>
      <xdr:grpSpPr>
        <a:xfrm>
          <a:off x="1394460" y="1158240"/>
          <a:ext cx="1569720" cy="762000"/>
          <a:chOff x="1394460" y="1287780"/>
          <a:chExt cx="1569720" cy="762000"/>
        </a:xfrm>
      </xdr:grpSpPr>
      <xdr:grpSp>
        <xdr:nvGrpSpPr>
          <xdr:cNvPr id="53" name="Group 52">
            <a:extLst>
              <a:ext uri="{FF2B5EF4-FFF2-40B4-BE49-F238E27FC236}">
                <a16:creationId xmlns:a16="http://schemas.microsoft.com/office/drawing/2014/main" id="{B7AF3B5B-F9F1-D296-5811-0548197C66D5}"/>
              </a:ext>
            </a:extLst>
          </xdr:cNvPr>
          <xdr:cNvGrpSpPr/>
        </xdr:nvGrpSpPr>
        <xdr:grpSpPr>
          <a:xfrm>
            <a:off x="1554480" y="1287780"/>
            <a:ext cx="1409700" cy="411480"/>
            <a:chOff x="1554480" y="1287780"/>
            <a:chExt cx="1409700" cy="411480"/>
          </a:xfrm>
        </xdr:grpSpPr>
        <xdr:sp macro="" textlink="'Pivot report'!A5">
          <xdr:nvSpPr>
            <xdr:cNvPr id="35" name="TextBox 34">
              <a:extLst>
                <a:ext uri="{FF2B5EF4-FFF2-40B4-BE49-F238E27FC236}">
                  <a16:creationId xmlns:a16="http://schemas.microsoft.com/office/drawing/2014/main" id="{51E3AB37-12B6-DF28-6C30-E748718D28B2}"/>
                </a:ext>
              </a:extLst>
            </xdr:cNvPr>
            <xdr:cNvSpPr txBox="1"/>
          </xdr:nvSpPr>
          <xdr:spPr>
            <a:xfrm>
              <a:off x="1554480" y="1287780"/>
              <a:ext cx="1409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935DA11-B03F-4482-BF18-21B5F3EDBFA6}" type="TxLink">
                <a:rPr lang="en-US" sz="2400" b="1" i="0" u="none" strike="noStrike">
                  <a:solidFill>
                    <a:schemeClr val="bg1"/>
                  </a:solidFill>
                  <a:latin typeface="Calibri"/>
                  <a:ea typeface="Calibri"/>
                  <a:cs typeface="Calibri"/>
                </a:rPr>
                <a:pPr algn="ctr"/>
                <a:t>513</a:t>
              </a:fld>
              <a:endParaRPr lang="en-IN" sz="2800" b="1">
                <a:solidFill>
                  <a:schemeClr val="bg1"/>
                </a:solidFill>
                <a:latin typeface="+mn-lt"/>
              </a:endParaRPr>
            </a:p>
          </xdr:txBody>
        </xdr:sp>
        <xdr:pic>
          <xdr:nvPicPr>
            <xdr:cNvPr id="46" name="Graphic 45" descr="User">
              <a:extLst>
                <a:ext uri="{FF2B5EF4-FFF2-40B4-BE49-F238E27FC236}">
                  <a16:creationId xmlns:a16="http://schemas.microsoft.com/office/drawing/2014/main" id="{C7E8F2CB-8A00-314D-2191-E3C7D323A24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0200" y="1310640"/>
              <a:ext cx="335280" cy="335280"/>
            </a:xfrm>
            <a:prstGeom prst="rect">
              <a:avLst/>
            </a:prstGeom>
          </xdr:spPr>
        </xdr:pic>
      </xdr:grpSp>
      <xdr:sp macro="" textlink="">
        <xdr:nvSpPr>
          <xdr:cNvPr id="34" name="TextBox 33">
            <a:extLst>
              <a:ext uri="{FF2B5EF4-FFF2-40B4-BE49-F238E27FC236}">
                <a16:creationId xmlns:a16="http://schemas.microsoft.com/office/drawing/2014/main" id="{CB42D1E5-FEF4-70D5-BBE1-296D2D383EFB}"/>
              </a:ext>
            </a:extLst>
          </xdr:cNvPr>
          <xdr:cNvSpPr txBox="1"/>
        </xdr:nvSpPr>
        <xdr:spPr>
          <a:xfrm>
            <a:off x="1394460" y="1638300"/>
            <a:ext cx="1409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solidFill>
                  <a:schemeClr val="bg1"/>
                </a:solidFill>
                <a:latin typeface="+mn-lt"/>
              </a:rPr>
              <a:t>No. of Patients</a:t>
            </a:r>
          </a:p>
        </xdr:txBody>
      </xdr:sp>
    </xdr:grpSp>
    <xdr:clientData/>
  </xdr:twoCellAnchor>
  <xdr:twoCellAnchor>
    <xdr:from>
      <xdr:col>4</xdr:col>
      <xdr:colOff>586740</xdr:colOff>
      <xdr:row>6</xdr:row>
      <xdr:rowOff>60960</xdr:rowOff>
    </xdr:from>
    <xdr:to>
      <xdr:col>7</xdr:col>
      <xdr:colOff>274320</xdr:colOff>
      <xdr:row>11</xdr:row>
      <xdr:rowOff>0</xdr:rowOff>
    </xdr:to>
    <xdr:grpSp>
      <xdr:nvGrpSpPr>
        <xdr:cNvPr id="57" name="Group 56">
          <a:extLst>
            <a:ext uri="{FF2B5EF4-FFF2-40B4-BE49-F238E27FC236}">
              <a16:creationId xmlns:a16="http://schemas.microsoft.com/office/drawing/2014/main" id="{BCFA86EB-40BC-5547-99C8-C85819FCD811}"/>
            </a:ext>
          </a:extLst>
        </xdr:cNvPr>
        <xdr:cNvGrpSpPr/>
      </xdr:nvGrpSpPr>
      <xdr:grpSpPr>
        <a:xfrm>
          <a:off x="3025140" y="1158240"/>
          <a:ext cx="1516380" cy="853440"/>
          <a:chOff x="3025140" y="1257300"/>
          <a:chExt cx="1516380" cy="853440"/>
        </a:xfrm>
      </xdr:grpSpPr>
      <xdr:sp macro="" textlink="">
        <xdr:nvSpPr>
          <xdr:cNvPr id="36" name="TextBox 35">
            <a:extLst>
              <a:ext uri="{FF2B5EF4-FFF2-40B4-BE49-F238E27FC236}">
                <a16:creationId xmlns:a16="http://schemas.microsoft.com/office/drawing/2014/main" id="{5EE7EBE1-CE18-CE81-6D89-E14EA20DCFF0}"/>
              </a:ext>
            </a:extLst>
          </xdr:cNvPr>
          <xdr:cNvSpPr txBox="1"/>
        </xdr:nvSpPr>
        <xdr:spPr>
          <a:xfrm>
            <a:off x="3025140" y="1699260"/>
            <a:ext cx="1409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solidFill>
                  <a:schemeClr val="bg1"/>
                </a:solidFill>
                <a:latin typeface="+mn-lt"/>
              </a:rPr>
              <a:t>Avg</a:t>
            </a:r>
            <a:r>
              <a:rPr lang="en-IN" sz="1200" b="0" baseline="0">
                <a:solidFill>
                  <a:schemeClr val="bg1"/>
                </a:solidFill>
                <a:latin typeface="+mn-lt"/>
              </a:rPr>
              <a:t> Wait Time </a:t>
            </a:r>
          </a:p>
          <a:p>
            <a:pPr algn="ctr"/>
            <a:r>
              <a:rPr lang="en-IN" sz="1200" b="0" baseline="0">
                <a:solidFill>
                  <a:schemeClr val="bg1"/>
                </a:solidFill>
                <a:latin typeface="+mn-lt"/>
              </a:rPr>
              <a:t>(Mins)</a:t>
            </a:r>
            <a:endParaRPr lang="en-IN" sz="1200" b="0">
              <a:solidFill>
                <a:schemeClr val="bg1"/>
              </a:solidFill>
              <a:latin typeface="+mn-lt"/>
            </a:endParaRPr>
          </a:p>
        </xdr:txBody>
      </xdr:sp>
      <xdr:grpSp>
        <xdr:nvGrpSpPr>
          <xdr:cNvPr id="54" name="Group 53">
            <a:extLst>
              <a:ext uri="{FF2B5EF4-FFF2-40B4-BE49-F238E27FC236}">
                <a16:creationId xmlns:a16="http://schemas.microsoft.com/office/drawing/2014/main" id="{3C1E82EE-8D59-B097-0AC5-99B581FB108A}"/>
              </a:ext>
            </a:extLst>
          </xdr:cNvPr>
          <xdr:cNvGrpSpPr/>
        </xdr:nvGrpSpPr>
        <xdr:grpSpPr>
          <a:xfrm>
            <a:off x="3131820" y="1257300"/>
            <a:ext cx="1409700" cy="411480"/>
            <a:chOff x="3131820" y="1257300"/>
            <a:chExt cx="1409700" cy="411480"/>
          </a:xfrm>
        </xdr:grpSpPr>
        <xdr:sp macro="" textlink="'Pivot report'!A9">
          <xdr:nvSpPr>
            <xdr:cNvPr id="37" name="TextBox 36">
              <a:extLst>
                <a:ext uri="{FF2B5EF4-FFF2-40B4-BE49-F238E27FC236}">
                  <a16:creationId xmlns:a16="http://schemas.microsoft.com/office/drawing/2014/main" id="{22B57436-6748-47C6-AA93-C5E28DCF3827}"/>
                </a:ext>
              </a:extLst>
            </xdr:cNvPr>
            <xdr:cNvSpPr txBox="1"/>
          </xdr:nvSpPr>
          <xdr:spPr>
            <a:xfrm>
              <a:off x="3131820" y="1257300"/>
              <a:ext cx="1409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54CC976-7FD7-46B5-B835-A5F975612F29}" type="TxLink">
                <a:rPr lang="en-US" sz="2400" b="1" i="0" u="none" strike="noStrike">
                  <a:solidFill>
                    <a:schemeClr val="bg1"/>
                  </a:solidFill>
                  <a:latin typeface="Calibri"/>
                  <a:ea typeface="Calibri"/>
                  <a:cs typeface="Calibri"/>
                </a:rPr>
                <a:pPr algn="ctr"/>
                <a:t>36.32</a:t>
              </a:fld>
              <a:endParaRPr lang="en-IN" sz="5400" b="1">
                <a:solidFill>
                  <a:schemeClr val="bg1"/>
                </a:solidFill>
                <a:latin typeface="+mn-lt"/>
              </a:endParaRPr>
            </a:p>
          </xdr:txBody>
        </xdr:sp>
        <xdr:pic>
          <xdr:nvPicPr>
            <xdr:cNvPr id="48" name="Graphic 47" descr="Hourglass">
              <a:extLst>
                <a:ext uri="{FF2B5EF4-FFF2-40B4-BE49-F238E27FC236}">
                  <a16:creationId xmlns:a16="http://schemas.microsoft.com/office/drawing/2014/main" id="{39C3DDBE-7F95-8ABC-A38F-1261C829CE3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77540" y="1303020"/>
              <a:ext cx="327600" cy="327600"/>
            </a:xfrm>
            <a:prstGeom prst="rect">
              <a:avLst/>
            </a:prstGeom>
          </xdr:spPr>
        </xdr:pic>
      </xdr:grpSp>
    </xdr:grpSp>
    <xdr:clientData/>
  </xdr:twoCellAnchor>
  <xdr:twoCellAnchor>
    <xdr:from>
      <xdr:col>7</xdr:col>
      <xdr:colOff>388620</xdr:colOff>
      <xdr:row>6</xdr:row>
      <xdr:rowOff>30480</xdr:rowOff>
    </xdr:from>
    <xdr:to>
      <xdr:col>10</xdr:col>
      <xdr:colOff>152400</xdr:colOff>
      <xdr:row>11</xdr:row>
      <xdr:rowOff>7620</xdr:rowOff>
    </xdr:to>
    <xdr:grpSp>
      <xdr:nvGrpSpPr>
        <xdr:cNvPr id="58" name="Group 57">
          <a:extLst>
            <a:ext uri="{FF2B5EF4-FFF2-40B4-BE49-F238E27FC236}">
              <a16:creationId xmlns:a16="http://schemas.microsoft.com/office/drawing/2014/main" id="{6B6806E7-B151-93C0-08FA-6392CF59AE75}"/>
            </a:ext>
          </a:extLst>
        </xdr:cNvPr>
        <xdr:cNvGrpSpPr/>
      </xdr:nvGrpSpPr>
      <xdr:grpSpPr>
        <a:xfrm>
          <a:off x="4655820" y="1127760"/>
          <a:ext cx="1592580" cy="891540"/>
          <a:chOff x="4655820" y="1303020"/>
          <a:chExt cx="1592580" cy="891540"/>
        </a:xfrm>
      </xdr:grpSpPr>
      <xdr:sp macro="" textlink="">
        <xdr:nvSpPr>
          <xdr:cNvPr id="38" name="TextBox 37">
            <a:extLst>
              <a:ext uri="{FF2B5EF4-FFF2-40B4-BE49-F238E27FC236}">
                <a16:creationId xmlns:a16="http://schemas.microsoft.com/office/drawing/2014/main" id="{AD19589C-A53F-AD6D-6B2C-D6A71C7D8B28}"/>
              </a:ext>
            </a:extLst>
          </xdr:cNvPr>
          <xdr:cNvSpPr txBox="1"/>
        </xdr:nvSpPr>
        <xdr:spPr>
          <a:xfrm>
            <a:off x="4655820" y="1783080"/>
            <a:ext cx="1409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solidFill>
                  <a:schemeClr val="bg1"/>
                </a:solidFill>
                <a:latin typeface="+mn-lt"/>
              </a:rPr>
              <a:t>Patient</a:t>
            </a:r>
            <a:r>
              <a:rPr lang="en-IN" sz="1200" b="0" baseline="0">
                <a:solidFill>
                  <a:schemeClr val="bg1"/>
                </a:solidFill>
                <a:latin typeface="+mn-lt"/>
              </a:rPr>
              <a:t> Satisfaction score</a:t>
            </a:r>
            <a:endParaRPr lang="en-IN" sz="1200" b="0">
              <a:solidFill>
                <a:schemeClr val="bg1"/>
              </a:solidFill>
              <a:latin typeface="+mn-lt"/>
            </a:endParaRPr>
          </a:p>
        </xdr:txBody>
      </xdr:sp>
      <xdr:grpSp>
        <xdr:nvGrpSpPr>
          <xdr:cNvPr id="55" name="Group 54">
            <a:extLst>
              <a:ext uri="{FF2B5EF4-FFF2-40B4-BE49-F238E27FC236}">
                <a16:creationId xmlns:a16="http://schemas.microsoft.com/office/drawing/2014/main" id="{488521D8-4A26-223B-8F64-866411E512C1}"/>
              </a:ext>
            </a:extLst>
          </xdr:cNvPr>
          <xdr:cNvGrpSpPr/>
        </xdr:nvGrpSpPr>
        <xdr:grpSpPr>
          <a:xfrm>
            <a:off x="4838700" y="1303020"/>
            <a:ext cx="1409700" cy="411480"/>
            <a:chOff x="4838700" y="1303020"/>
            <a:chExt cx="1409700" cy="411480"/>
          </a:xfrm>
        </xdr:grpSpPr>
        <xdr:sp macro="" textlink="'Pivot report'!A13">
          <xdr:nvSpPr>
            <xdr:cNvPr id="39" name="TextBox 38">
              <a:extLst>
                <a:ext uri="{FF2B5EF4-FFF2-40B4-BE49-F238E27FC236}">
                  <a16:creationId xmlns:a16="http://schemas.microsoft.com/office/drawing/2014/main" id="{594B4875-8F38-6F97-0CBC-1CA582F430FA}"/>
                </a:ext>
              </a:extLst>
            </xdr:cNvPr>
            <xdr:cNvSpPr txBox="1"/>
          </xdr:nvSpPr>
          <xdr:spPr>
            <a:xfrm>
              <a:off x="4838700" y="1303020"/>
              <a:ext cx="1409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E056E89-E52D-4B03-98C4-D128322C989C}" type="TxLink">
                <a:rPr lang="en-US" sz="2400" b="1" i="0" u="none" strike="noStrike">
                  <a:solidFill>
                    <a:schemeClr val="bg1"/>
                  </a:solidFill>
                  <a:latin typeface="Calibri"/>
                  <a:ea typeface="Calibri"/>
                  <a:cs typeface="Calibri"/>
                </a:rPr>
                <a:pPr algn="ctr"/>
                <a:t>4.96</a:t>
              </a:fld>
              <a:endParaRPr lang="en-IN" sz="5400" b="1">
                <a:solidFill>
                  <a:schemeClr val="bg1"/>
                </a:solidFill>
                <a:latin typeface="+mn-lt"/>
              </a:endParaRPr>
            </a:p>
          </xdr:txBody>
        </xdr:sp>
        <xdr:pic>
          <xdr:nvPicPr>
            <xdr:cNvPr id="50" name="Graphic 49" descr="Chat bubble">
              <a:extLst>
                <a:ext uri="{FF2B5EF4-FFF2-40B4-BE49-F238E27FC236}">
                  <a16:creationId xmlns:a16="http://schemas.microsoft.com/office/drawing/2014/main" id="{FB405A4B-5BE5-31F6-B7F1-36CB6765C6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07280" y="1356360"/>
              <a:ext cx="334800" cy="334800"/>
            </a:xfrm>
            <a:prstGeom prst="rect">
              <a:avLst/>
            </a:prstGeom>
          </xdr:spPr>
        </xdr:pic>
      </xdr:grpSp>
    </xdr:grpSp>
    <xdr:clientData/>
  </xdr:twoCellAnchor>
  <xdr:twoCellAnchor editAs="oneCell">
    <xdr:from>
      <xdr:col>0</xdr:col>
      <xdr:colOff>335280</xdr:colOff>
      <xdr:row>6</xdr:row>
      <xdr:rowOff>114300</xdr:rowOff>
    </xdr:from>
    <xdr:to>
      <xdr:col>1</xdr:col>
      <xdr:colOff>480060</xdr:colOff>
      <xdr:row>28</xdr:row>
      <xdr:rowOff>114300</xdr:rowOff>
    </xdr:to>
    <mc:AlternateContent xmlns:mc="http://schemas.openxmlformats.org/markup-compatibility/2006" xmlns:a14="http://schemas.microsoft.com/office/drawing/2010/main">
      <mc:Choice Requires="a14">
        <xdr:graphicFrame macro="">
          <xdr:nvGraphicFramePr>
            <xdr:cNvPr id="51" name="Date (Month)">
              <a:extLst>
                <a:ext uri="{FF2B5EF4-FFF2-40B4-BE49-F238E27FC236}">
                  <a16:creationId xmlns:a16="http://schemas.microsoft.com/office/drawing/2014/main" id="{BE85F4F7-0877-4DB4-9867-11AC0CA95FF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35280" y="1211580"/>
              <a:ext cx="754380" cy="402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8</xdr:row>
      <xdr:rowOff>121920</xdr:rowOff>
    </xdr:from>
    <xdr:to>
      <xdr:col>4</xdr:col>
      <xdr:colOff>449580</xdr:colOff>
      <xdr:row>13</xdr:row>
      <xdr:rowOff>121920</xdr:rowOff>
    </xdr:to>
    <xdr:graphicFrame macro="">
      <xdr:nvGraphicFramePr>
        <xdr:cNvPr id="52" name="Chart 51">
          <a:hlinkClick xmlns:r="http://schemas.openxmlformats.org/officeDocument/2006/relationships" r:id="rId8"/>
          <a:extLst>
            <a:ext uri="{FF2B5EF4-FFF2-40B4-BE49-F238E27FC236}">
              <a16:creationId xmlns:a16="http://schemas.microsoft.com/office/drawing/2014/main" id="{9A2D36AC-42AC-4B02-A6AB-04D8BFB32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563880</xdr:colOff>
      <xdr:row>11</xdr:row>
      <xdr:rowOff>38100</xdr:rowOff>
    </xdr:from>
    <xdr:to>
      <xdr:col>7</xdr:col>
      <xdr:colOff>243840</xdr:colOff>
      <xdr:row>13</xdr:row>
      <xdr:rowOff>167640</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BC961563-FDE0-403C-A61F-FEB0C06C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144780</xdr:colOff>
      <xdr:row>6</xdr:row>
      <xdr:rowOff>129540</xdr:rowOff>
    </xdr:from>
    <xdr:to>
      <xdr:col>10</xdr:col>
      <xdr:colOff>114300</xdr:colOff>
      <xdr:row>14</xdr:row>
      <xdr:rowOff>7620</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EF18C0F1-50FC-4663-A9CC-62BA4FE50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144780</xdr:colOff>
          <xdr:row>14</xdr:row>
          <xdr:rowOff>60960</xdr:rowOff>
        </xdr:from>
        <xdr:to>
          <xdr:col>9</xdr:col>
          <xdr:colOff>548640</xdr:colOff>
          <xdr:row>18</xdr:row>
          <xdr:rowOff>15240</xdr:rowOff>
        </xdr:to>
        <xdr:pic>
          <xdr:nvPicPr>
            <xdr:cNvPr id="24" name="Picture 23">
              <a:extLst>
                <a:ext uri="{FF2B5EF4-FFF2-40B4-BE49-F238E27FC236}">
                  <a16:creationId xmlns:a16="http://schemas.microsoft.com/office/drawing/2014/main" id="{273B5E2B-4699-AC83-5ACD-E2235218224B}"/>
                </a:ext>
              </a:extLst>
            </xdr:cNvPr>
            <xdr:cNvPicPr>
              <a:picLocks noChangeAspect="1" noChangeArrowheads="1"/>
              <a:extLst>
                <a:ext uri="{84589F7E-364E-4C9E-8A38-B11213B215E9}">
                  <a14:cameraTool cellRange="'Pivot report'!$A$46:$D$48" spid="_x0000_s2073"/>
                </a:ext>
              </a:extLst>
            </xdr:cNvPicPr>
          </xdr:nvPicPr>
          <xdr:blipFill>
            <a:blip xmlns:r="http://schemas.openxmlformats.org/officeDocument/2006/relationships" r:embed="rId14"/>
            <a:srcRect/>
            <a:stretch>
              <a:fillRect/>
            </a:stretch>
          </xdr:blipFill>
          <xdr:spPr bwMode="auto">
            <a:xfrm>
              <a:off x="1363980" y="2621280"/>
              <a:ext cx="4671060" cy="685800"/>
            </a:xfrm>
            <a:prstGeom prst="rect">
              <a:avLst/>
            </a:prstGeom>
            <a:ln w="38100">
              <a:solidFill>
                <a:schemeClr val="bg2">
                  <a:lumMod val="50000"/>
                </a:schemeClr>
              </a:solidFill>
            </a:ln>
            <a:effectLst>
              <a:outerShdw blurRad="292100" dist="139700" dir="2700000" algn="tl" rotWithShape="0">
                <a:srgbClr val="333333">
                  <a:alpha val="65000"/>
                </a:srgbClr>
              </a:outerShdw>
            </a:effectLst>
          </xdr:spPr>
        </xdr:pic>
        <xdr:clientData/>
      </xdr:twoCellAnchor>
    </mc:Choice>
    <mc:Fallback/>
  </mc:AlternateContent>
  <xdr:twoCellAnchor>
    <xdr:from>
      <xdr:col>2</xdr:col>
      <xdr:colOff>243840</xdr:colOff>
      <xdr:row>19</xdr:row>
      <xdr:rowOff>60960</xdr:rowOff>
    </xdr:from>
    <xdr:to>
      <xdr:col>9</xdr:col>
      <xdr:colOff>487680</xdr:colOff>
      <xdr:row>27</xdr:row>
      <xdr:rowOff>38100</xdr:rowOff>
    </xdr:to>
    <xdr:graphicFrame macro="">
      <xdr:nvGraphicFramePr>
        <xdr:cNvPr id="25" name="Chart 24">
          <a:extLst>
            <a:ext uri="{FF2B5EF4-FFF2-40B4-BE49-F238E27FC236}">
              <a16:creationId xmlns:a16="http://schemas.microsoft.com/office/drawing/2014/main" id="{492157E9-AE91-4899-AA72-A19119E98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419099</xdr:colOff>
      <xdr:row>27</xdr:row>
      <xdr:rowOff>0</xdr:rowOff>
    </xdr:from>
    <xdr:to>
      <xdr:col>9</xdr:col>
      <xdr:colOff>129539</xdr:colOff>
      <xdr:row>29</xdr:row>
      <xdr:rowOff>45720</xdr:rowOff>
    </xdr:to>
    <xdr:sp macro="" textlink="">
      <xdr:nvSpPr>
        <xdr:cNvPr id="27" name="TextBox 26">
          <a:extLst>
            <a:ext uri="{FF2B5EF4-FFF2-40B4-BE49-F238E27FC236}">
              <a16:creationId xmlns:a16="http://schemas.microsoft.com/office/drawing/2014/main" id="{572798C0-BC42-42B6-8829-78E1A0BEAAE6}"/>
            </a:ext>
          </a:extLst>
        </xdr:cNvPr>
        <xdr:cNvSpPr txBox="1"/>
      </xdr:nvSpPr>
      <xdr:spPr>
        <a:xfrm>
          <a:off x="1638299" y="4937760"/>
          <a:ext cx="3977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0">
              <a:solidFill>
                <a:schemeClr val="bg1"/>
              </a:solidFill>
              <a:latin typeface="Calibri" panose="020F0502020204030204" pitchFamily="34" charset="0"/>
              <a:ea typeface="Calibri" panose="020F0502020204030204" pitchFamily="34" charset="0"/>
              <a:cs typeface="Calibri" panose="020F0502020204030204" pitchFamily="34" charset="0"/>
            </a:rPr>
            <a:t>No.</a:t>
          </a:r>
          <a:r>
            <a:rPr lang="en-IN" sz="1050" b="0" baseline="0">
              <a:solidFill>
                <a:schemeClr val="bg1"/>
              </a:solidFill>
              <a:latin typeface="Calibri" panose="020F0502020204030204" pitchFamily="34" charset="0"/>
              <a:ea typeface="Calibri" panose="020F0502020204030204" pitchFamily="34" charset="0"/>
              <a:cs typeface="Calibri" panose="020F0502020204030204" pitchFamily="34" charset="0"/>
            </a:rPr>
            <a:t> of patients by Age group</a:t>
          </a:r>
          <a:endParaRPr lang="en-IN" sz="105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381000</xdr:colOff>
      <xdr:row>1</xdr:row>
      <xdr:rowOff>38100</xdr:rowOff>
    </xdr:from>
    <xdr:to>
      <xdr:col>14</xdr:col>
      <xdr:colOff>198120</xdr:colOff>
      <xdr:row>9</xdr:row>
      <xdr:rowOff>175260</xdr:rowOff>
    </xdr:to>
    <xdr:graphicFrame macro="">
      <xdr:nvGraphicFramePr>
        <xdr:cNvPr id="12" name="Chart 11">
          <a:extLst>
            <a:ext uri="{FF2B5EF4-FFF2-40B4-BE49-F238E27FC236}">
              <a16:creationId xmlns:a16="http://schemas.microsoft.com/office/drawing/2014/main" id="{9036E229-1924-4FE9-9286-143E3ACCA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152400</xdr:colOff>
      <xdr:row>1</xdr:row>
      <xdr:rowOff>68580</xdr:rowOff>
    </xdr:from>
    <xdr:to>
      <xdr:col>13</xdr:col>
      <xdr:colOff>525780</xdr:colOff>
      <xdr:row>2</xdr:row>
      <xdr:rowOff>76200</xdr:rowOff>
    </xdr:to>
    <xdr:sp macro="" textlink="">
      <xdr:nvSpPr>
        <xdr:cNvPr id="13" name="TextBox 12">
          <a:extLst>
            <a:ext uri="{FF2B5EF4-FFF2-40B4-BE49-F238E27FC236}">
              <a16:creationId xmlns:a16="http://schemas.microsoft.com/office/drawing/2014/main" id="{42681F9F-144D-4C4C-BBDD-337B90502E2D}"/>
            </a:ext>
          </a:extLst>
        </xdr:cNvPr>
        <xdr:cNvSpPr txBox="1"/>
      </xdr:nvSpPr>
      <xdr:spPr>
        <a:xfrm>
          <a:off x="6248400" y="251460"/>
          <a:ext cx="22021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ctr"/>
          <a:r>
            <a:rPr lang="en-IN" sz="850">
              <a:solidFill>
                <a:schemeClr val="bg1"/>
              </a:solidFill>
            </a:rPr>
            <a:t>Patient Attendance by Wait Time Status</a:t>
          </a:r>
          <a:endParaRPr lang="en-IN" sz="85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12</xdr:col>
      <xdr:colOff>525780</xdr:colOff>
      <xdr:row>1</xdr:row>
      <xdr:rowOff>7620</xdr:rowOff>
    </xdr:from>
    <xdr:to>
      <xdr:col>16384</xdr:col>
      <xdr:colOff>373380</xdr:colOff>
      <xdr:row>9</xdr:row>
      <xdr:rowOff>175260</xdr:rowOff>
    </xdr:to>
    <xdr:graphicFrame macro="">
      <xdr:nvGraphicFramePr>
        <xdr:cNvPr id="14" name="Chart 13">
          <a:extLst>
            <a:ext uri="{FF2B5EF4-FFF2-40B4-BE49-F238E27FC236}">
              <a16:creationId xmlns:a16="http://schemas.microsoft.com/office/drawing/2014/main" id="{BACE0F30-859D-40DF-9C7D-7545C8E0C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342900</xdr:colOff>
      <xdr:row>12</xdr:row>
      <xdr:rowOff>0</xdr:rowOff>
    </xdr:from>
    <xdr:to>
      <xdr:col>17</xdr:col>
      <xdr:colOff>91440</xdr:colOff>
      <xdr:row>29</xdr:row>
      <xdr:rowOff>0</xdr:rowOff>
    </xdr:to>
    <xdr:graphicFrame macro="">
      <xdr:nvGraphicFramePr>
        <xdr:cNvPr id="15" name="Chart 14">
          <a:extLst>
            <a:ext uri="{FF2B5EF4-FFF2-40B4-BE49-F238E27FC236}">
              <a16:creationId xmlns:a16="http://schemas.microsoft.com/office/drawing/2014/main" id="{4DAC4A86-836A-4E17-927C-DD2397177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358140</xdr:colOff>
      <xdr:row>10</xdr:row>
      <xdr:rowOff>137160</xdr:rowOff>
    </xdr:from>
    <xdr:to>
      <xdr:col>17</xdr:col>
      <xdr:colOff>68580</xdr:colOff>
      <xdr:row>13</xdr:row>
      <xdr:rowOff>0</xdr:rowOff>
    </xdr:to>
    <xdr:sp macro="" textlink="">
      <xdr:nvSpPr>
        <xdr:cNvPr id="16" name="TextBox 15">
          <a:extLst>
            <a:ext uri="{FF2B5EF4-FFF2-40B4-BE49-F238E27FC236}">
              <a16:creationId xmlns:a16="http://schemas.microsoft.com/office/drawing/2014/main" id="{0D42F141-147C-446B-9597-4AFFF4EFED90}"/>
            </a:ext>
          </a:extLst>
        </xdr:cNvPr>
        <xdr:cNvSpPr txBox="1"/>
      </xdr:nvSpPr>
      <xdr:spPr>
        <a:xfrm>
          <a:off x="6454140" y="1965960"/>
          <a:ext cx="3977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0">
              <a:solidFill>
                <a:schemeClr val="bg1"/>
              </a:solidFill>
              <a:latin typeface="Calibri" panose="020F0502020204030204" pitchFamily="34" charset="0"/>
              <a:ea typeface="Calibri" panose="020F0502020204030204" pitchFamily="34" charset="0"/>
              <a:cs typeface="Calibri" panose="020F0502020204030204" pitchFamily="34" charset="0"/>
            </a:rPr>
            <a:t>No.</a:t>
          </a:r>
          <a:r>
            <a:rPr lang="en-IN" sz="1050" b="0" baseline="0">
              <a:solidFill>
                <a:schemeClr val="bg1"/>
              </a:solidFill>
              <a:latin typeface="Calibri" panose="020F0502020204030204" pitchFamily="34" charset="0"/>
              <a:ea typeface="Calibri" panose="020F0502020204030204" pitchFamily="34" charset="0"/>
              <a:cs typeface="Calibri" panose="020F0502020204030204" pitchFamily="34" charset="0"/>
            </a:rPr>
            <a:t> of patients by Department referral</a:t>
          </a:r>
          <a:endParaRPr lang="en-IN" sz="105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7</xdr:col>
      <xdr:colOff>236220</xdr:colOff>
      <xdr:row>1</xdr:row>
      <xdr:rowOff>175260</xdr:rowOff>
    </xdr:from>
    <xdr:to>
      <xdr:col>9</xdr:col>
      <xdr:colOff>586740</xdr:colOff>
      <xdr:row>4</xdr:row>
      <xdr:rowOff>30480</xdr:rowOff>
    </xdr:to>
    <mc:AlternateContent xmlns:mc="http://schemas.openxmlformats.org/markup-compatibility/2006" xmlns:a14="http://schemas.microsoft.com/office/drawing/2010/main">
      <mc:Choice Requires="a14">
        <xdr:graphicFrame macro="">
          <xdr:nvGraphicFramePr>
            <xdr:cNvPr id="17" name="Date (Year)">
              <a:extLst>
                <a:ext uri="{FF2B5EF4-FFF2-40B4-BE49-F238E27FC236}">
                  <a16:creationId xmlns:a16="http://schemas.microsoft.com/office/drawing/2014/main" id="{7E384571-C83F-4F39-B2A6-B98FE0ECDA5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503420" y="358140"/>
              <a:ext cx="156972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0.17385</cdr:x>
      <cdr:y>0.01246</cdr:y>
    </cdr:from>
    <cdr:to>
      <cdr:x>0.82918</cdr:x>
      <cdr:y>0.12928</cdr:y>
    </cdr:to>
    <cdr:sp macro="" textlink="">
      <cdr:nvSpPr>
        <cdr:cNvPr id="2" name="TextBox 12">
          <a:extLst xmlns:a="http://schemas.openxmlformats.org/drawingml/2006/main">
            <a:ext uri="{FF2B5EF4-FFF2-40B4-BE49-F238E27FC236}">
              <a16:creationId xmlns:a16="http://schemas.microsoft.com/office/drawing/2014/main" id="{42681F9F-144D-4C4C-BBDD-337B90502E2D}"/>
            </a:ext>
          </a:extLst>
        </cdr:cNvPr>
        <cdr:cNvSpPr txBox="1"/>
      </cdr:nvSpPr>
      <cdr:spPr>
        <a:xfrm xmlns:a="http://schemas.openxmlformats.org/drawingml/2006/main">
          <a:off x="584200" y="20320"/>
          <a:ext cx="2202180" cy="1905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non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50" b="0">
              <a:solidFill>
                <a:schemeClr val="bg1"/>
              </a:solidFill>
              <a:latin typeface="+mn-lt"/>
              <a:ea typeface="+mn-ea"/>
              <a:cs typeface="+mn-cs"/>
            </a:rPr>
            <a:t>No.</a:t>
          </a:r>
          <a:r>
            <a:rPr lang="en-IN" sz="850" b="0" baseline="0">
              <a:solidFill>
                <a:schemeClr val="bg1"/>
              </a:solidFill>
              <a:latin typeface="+mn-lt"/>
              <a:ea typeface="+mn-ea"/>
              <a:cs typeface="+mn-cs"/>
            </a:rPr>
            <a:t> of patients by gender</a:t>
          </a:r>
          <a:endParaRPr lang="en-IN" sz="850" b="0">
            <a:solidFill>
              <a:schemeClr val="bg1"/>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15240</xdr:colOff>
      <xdr:row>0</xdr:row>
      <xdr:rowOff>0</xdr:rowOff>
    </xdr:from>
    <xdr:to>
      <xdr:col>16</xdr:col>
      <xdr:colOff>243840</xdr:colOff>
      <xdr:row>22</xdr:row>
      <xdr:rowOff>160020</xdr:rowOff>
    </xdr:to>
    <xdr:graphicFrame macro="">
      <xdr:nvGraphicFramePr>
        <xdr:cNvPr id="2" name="Chart 1">
          <a:extLst>
            <a:ext uri="{FF2B5EF4-FFF2-40B4-BE49-F238E27FC236}">
              <a16:creationId xmlns:a16="http://schemas.microsoft.com/office/drawing/2014/main" id="{8433CC4F-1AB9-482E-8DE6-3652ECB45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342000</xdr:colOff>
      <xdr:row>1</xdr:row>
      <xdr:rowOff>159120</xdr:rowOff>
    </xdr:to>
    <xdr:pic>
      <xdr:nvPicPr>
        <xdr:cNvPr id="4" name="Graphic 3" descr="Home">
          <a:hlinkClick xmlns:r="http://schemas.openxmlformats.org/officeDocument/2006/relationships" r:id="rId2"/>
          <a:extLst>
            <a:ext uri="{FF2B5EF4-FFF2-40B4-BE49-F238E27FC236}">
              <a16:creationId xmlns:a16="http://schemas.microsoft.com/office/drawing/2014/main" id="{99800026-B925-13A8-2689-BB40F96A9C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42000" cy="34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228600</xdr:colOff>
      <xdr:row>22</xdr:row>
      <xdr:rowOff>7620</xdr:rowOff>
    </xdr:to>
    <xdr:graphicFrame macro="">
      <xdr:nvGraphicFramePr>
        <xdr:cNvPr id="4" name="Chart 3">
          <a:extLst>
            <a:ext uri="{FF2B5EF4-FFF2-40B4-BE49-F238E27FC236}">
              <a16:creationId xmlns:a16="http://schemas.microsoft.com/office/drawing/2014/main" id="{76A772BF-10A9-4416-954F-00AE5DB2E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0.00509</cdr:x>
      <cdr:y>0.0126</cdr:y>
    </cdr:from>
    <cdr:to>
      <cdr:x>0.03935</cdr:x>
      <cdr:y>0.09745</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9800026-B925-13A8-2689-BB40F96A9C0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42000" cy="3420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213360</xdr:colOff>
      <xdr:row>21</xdr:row>
      <xdr:rowOff>129540</xdr:rowOff>
    </xdr:to>
    <xdr:graphicFrame macro="">
      <xdr:nvGraphicFramePr>
        <xdr:cNvPr id="3" name="Chart 2">
          <a:extLst>
            <a:ext uri="{FF2B5EF4-FFF2-40B4-BE49-F238E27FC236}">
              <a16:creationId xmlns:a16="http://schemas.microsoft.com/office/drawing/2014/main" id="{0E9A9D6F-5ED6-4B4F-A8F9-53A4781BD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0.0051</cdr:x>
      <cdr:y>0.0128</cdr:y>
    </cdr:from>
    <cdr:to>
      <cdr:x>0.03941</cdr:x>
      <cdr:y>0.09894</cdr:y>
    </cdr:to>
    <cdr:pic>
      <cdr:nvPicPr>
        <cdr:cNvPr id="2" name="Graphic 3"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9800026-B925-13A8-2689-BB40F96A9C0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42000" cy="3420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212963" backgroundQuery="1" createdVersion="8" refreshedVersion="8" minRefreshableVersion="3" recordCount="0" supportSubquery="1" supportAdvancedDrill="1" xr:uid="{88F530DF-2F2C-44D7-B792-F66A90C2D639}">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2592592" backgroundQuery="1" createdVersion="8" refreshedVersion="8" minRefreshableVersion="3" recordCount="0" supportSubquery="1" supportAdvancedDrill="1" xr:uid="{5B8458A8-3561-4AA7-B8BD-11861AE6CE74}">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2824077" backgroundQuery="1" createdVersion="8" refreshedVersion="8" minRefreshableVersion="3" recordCount="0" supportSubquery="1" supportAdvancedDrill="1" xr:uid="{0C6E83F4-F876-40FE-A9D5-FF77232A1CDF}">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3055554" backgroundQuery="1" createdVersion="8" refreshedVersion="8" minRefreshableVersion="3" recordCount="0" supportSubquery="1" supportAdvancedDrill="1" xr:uid="{9B02B9A5-96F4-4FB4-BF42-C95DC98F0590}">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3634262" backgroundQuery="1" createdVersion="8" refreshedVersion="8" minRefreshableVersion="3" recordCount="0" supportSubquery="1" supportAdvancedDrill="1" xr:uid="{9CD6896A-7C99-4E8E-8821-D2F5FDEBFE5F}">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4212963" backgroundQuery="1" createdVersion="8" refreshedVersion="8" minRefreshableVersion="3" recordCount="0" supportSubquery="1" supportAdvancedDrill="1" xr:uid="{E1B6B65B-BE2C-4412-86FC-16F6D0C67020}">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4791663" backgroundQuery="1" createdVersion="8" refreshedVersion="8" minRefreshableVersion="3" recordCount="0" supportSubquery="1" supportAdvancedDrill="1" xr:uid="{FE26B86D-437D-4EBD-B81C-C52167F1FF72}">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Patient Admission]" caption="Patient Admission" numFmtId="0" hierarchy="13" level="1">
      <sharedItems count="2">
        <s v="Admitted"/>
        <s v="Not Admitted"/>
      </sharedItems>
    </cacheField>
    <cacheField name="[Measures].[Count of Patient Admission]" caption="Count of Patient Admission" numFmtId="0" hierarchy="29" level="32767"/>
    <cacheField name="[Calendar_Table].[Date (Year)].[Date (Year)]" caption="Date (Year)" numFmtId="0" hierarchy="3" level="1">
      <sharedItems containsSemiMixedTypes="0" containsNonDate="0" containsString="0"/>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5370371" backgroundQuery="1" createdVersion="8" refreshedVersion="8" minRefreshableVersion="3" recordCount="0" supportSubquery="1" supportAdvancedDrill="1" xr:uid="{471B0AD3-115E-4CA3-A253-77F3B7C345D0}">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5949072" backgroundQuery="1" createdVersion="8" refreshedVersion="8" minRefreshableVersion="3" recordCount="0" supportSubquery="1" supportAdvancedDrill="1" xr:uid="{F54B1B44-3C17-483F-9D11-97AE0C35E340}">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6412033" backgroundQuery="1" createdVersion="8" refreshedVersion="8" minRefreshableVersion="3" recordCount="0" supportSubquery="1" supportAdvancedDrill="1" xr:uid="{CB5DD5FC-5C74-429A-B4EB-D3DD93164BCA}">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6990741" backgroundQuery="1" createdVersion="8" refreshedVersion="8" minRefreshableVersion="3" recordCount="0" supportSubquery="1" supportAdvancedDrill="1" xr:uid="{84E6A3B3-F3E3-4810-BE13-CAAE3C296A4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54597569442" backgroundQuery="1" createdVersion="8" refreshedVersion="8" minRefreshableVersion="3" recordCount="0" supportSubquery="1" supportAdvancedDrill="1" xr:uid="{899812E3-9F4A-43EB-86E3-5EDB650CCB30}">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0">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888871296294" backgroundQuery="1" createdVersion="3" refreshedVersion="8" minRefreshableVersion="3" recordCount="0" supportSubquery="1" supportAdvancedDrill="1" xr:uid="{E5A31B49-1CF5-4D8E-A112-7B8545A9C617}">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caption="Patient Admission" attribute="1" defaultMemberUniqueName="[Hospital Emergency Room Data].[Patient Admission].[All]" allUniqueName="[Hospital Emergency Room Data].[Patient Admission].[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caption="Count of Patient Admission"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845044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002D74-9744-40FC-86FC-7066A85A6570}" name="PivotTable12" cacheId="948" applyNumberFormats="0" applyBorderFormats="0" applyFontFormats="0" applyPatternFormats="0" applyAlignmentFormats="0" applyWidthHeightFormats="1" dataCaption="Values" tag="f04dca75-8557-43fb-b594-5cd4416ba971" updatedVersion="8" minRefreshableVersion="3" subtotalHiddenItems="1" itemPrintTitles="1" createdVersion="8" indent="0" outline="1" outlineData="1" multipleFieldFilters="0" chartFormat="18" rowHeaderCaption="Waiting time">
  <location ref="H52:H54"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0">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C7E37-D0ED-424B-A054-2F5EBE745343}" name="PivotTable7" cacheId="933" applyNumberFormats="0" applyBorderFormats="0" applyFontFormats="0" applyPatternFormats="0" applyAlignmentFormats="0" applyWidthHeightFormats="1" dataCaption="Values" tag="1f66fbc5-910e-4e82-8819-73a527469b01" updatedVersion="8" minRefreshableVersion="3" subtotalHiddenItems="1" itemPrintTitles="1" createdVersion="8" indent="0" outline="1" outlineData="1" multipleFieldFilters="0" chartFormat="4">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d="2" subtotal="count" baseField="0" baseItem="0"/>
    <dataField name="Count of Patient Admission2" fld="4" subtotal="count" showDataAs="percentOfTotal" baseField="0" baseItem="0" numFmtId="10">
      <extLst>
        <ext xmlns:x14="http://schemas.microsoft.com/office/spreadsheetml/2009/9/main" uri="{E15A36E0-9728-4e99-A89B-3F7291B0FE68}">
          <x14:dataField sourceField="2" uniqueName="[__Xl2].[Measures].[Count of Patient Admission]"/>
        </ext>
      </extLst>
    </dataField>
  </dataFields>
  <formats count="2">
    <format dxfId="3">
      <pivotArea outline="0" collapsedLevelsAreSubtotals="1" fieldPosition="0"/>
    </format>
    <format dxfId="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A24D8-4DE9-4F5A-8F2D-DABF82A472AF}" name="PivotTable1" cacheId="918" applyNumberFormats="0" applyBorderFormats="0" applyFontFormats="0" applyPatternFormats="0" applyAlignmentFormats="0" applyWidthHeightFormats="1" dataCaption="Values" tag="f04dca75-8557-43fb-b594-5cd4416ba971"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8B2014-30B4-4858-AE6B-C8DF50A3BD43}" name="PivotTable5" cacheId="930" applyNumberFormats="0" applyBorderFormats="0" applyFontFormats="0" applyPatternFormats="0" applyAlignmentFormats="0" applyWidthHeightFormats="1" dataCaption="Values" tag="2c4c6882-edd6-49c3-9aff-78c01bd17b82" updatedVersion="8" minRefreshableVersion="3" subtotalHiddenItems="1" itemPrintTitles="1" createdVersion="8" indent="0" outline="1" outlineData="1" multipleFieldFilters="0" chartFormat="33">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6" numFmtId="2"/>
  </dataFields>
  <chartFormats count="2">
    <chartFormat chart="27"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91DEF4-D2C2-4C60-861E-57BDCF50FE3A}" name="PivotTable9" cacheId="939" applyNumberFormats="0" applyBorderFormats="0" applyFontFormats="0" applyPatternFormats="0" applyAlignmentFormats="0" applyWidthHeightFormats="1" dataCaption="Values" tag="f04dca75-8557-43fb-b594-5cd4416ba971" updatedVersion="8" minRefreshableVersion="3" subtotalHiddenItems="1" itemPrintTitles="1" createdVersion="8" indent="0" outline="1" outlineData="1" multipleFieldFilters="0" chartFormat="17" rowHeaderCaption="Age group">
  <location ref="E53:F6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Patient Id" fld="2"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B4F0E8-FDBC-4DE9-8A9E-4BB74C6361D2}" name="PivotTable4" cacheId="915" applyNumberFormats="0" applyBorderFormats="0" applyFontFormats="0" applyPatternFormats="0" applyAlignmentFormats="0" applyWidthHeightFormats="1" dataCaption="Values" tag="db166522-9fe5-408d-8aab-03633e50ff37" updatedVersion="8" minRefreshableVersion="3" subtotalHiddenItems="1" itemPrintTitles="1" createdVersion="8" indent="0" outline="1" outlineData="1" multipleFieldFilters="0" chartFormat="14">
  <location ref="E4:F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3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2B8B6-9C02-4F4D-B335-657622B6929B}" name="PivotTable8" cacheId="936" applyNumberFormats="0" applyBorderFormats="0" applyFontFormats="0" applyPatternFormats="0" applyAlignmentFormats="0" applyWidthHeightFormats="1" dataCaption="Values" tag="f04dca75-8557-43fb-b594-5cd4416ba971" updatedVersion="8" minRefreshableVersion="3" subtotalHiddenItems="1" itemPrintTitles="1" createdVersion="8" indent="0" outline="1" outlineData="1" multipleFieldFilters="0" chartFormat="8" rowHeaderCaption="Age group">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CAB66F-34D9-46EC-8ED2-9C5E96C7BADF}" name="PivotTable10" cacheId="945" applyNumberFormats="0" applyBorderFormats="0" applyFontFormats="0" applyPatternFormats="0" applyAlignmentFormats="0" applyWidthHeightFormats="1" dataCaption="Values" tag="f04dca75-8557-43fb-b594-5cd4416ba971" updatedVersion="8" minRefreshableVersion="3" subtotalHiddenItems="1" itemPrintTitles="1" createdVersion="8" indent="0" outline="1" outlineData="1" multipleFieldFilters="0" chartFormat="27" rowHeaderCaption="Waiting time">
  <location ref="J40:K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numFmtId="1"/>
  </dataFields>
  <formats count="1">
    <format dxfId="1">
      <pivotArea outline="0" collapsedLevelsAreSubtotals="1" fieldPosition="0"/>
    </format>
  </formats>
  <chartFormats count="3">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 count="1" selected="0">
            <x v="0"/>
          </reference>
        </references>
      </pivotArea>
    </chartFormat>
    <chartFormat chart="22" format="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1F555F-2753-4264-8C15-FCFAE79E5572}" name="PivotTable11" cacheId="942" applyNumberFormats="0" applyBorderFormats="0" applyFontFormats="0" applyPatternFormats="0" applyAlignmentFormats="0" applyWidthHeightFormats="1" dataCaption="Values" tag="f04dca75-8557-43fb-b594-5cd4416ba971" updatedVersion="8" minRefreshableVersion="3" subtotalHiddenItems="1" itemPrintTitles="1" createdVersion="8" indent="0" outline="1" outlineData="1" multipleFieldFilters="0" chartFormat="18" rowHeaderCaption="Waiting time">
  <location ref="G40:H4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showDataAs="percentOfTotal" baseField="0" baseItem="0" numFmtId="9"/>
  </dataFields>
  <formats count="1">
    <format dxfId="2">
      <pivotArea outline="0" collapsedLevelsAreSubtotals="1" fieldPosition="0"/>
    </format>
  </formats>
  <chartFormats count="3">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02368F-A48F-4AEE-BA9D-087F7136C720}" name="PivotTable2" cacheId="921" applyNumberFormats="0" applyBorderFormats="0" applyFontFormats="0" applyPatternFormats="0" applyAlignmentFormats="0" applyWidthHeightFormats="1" dataCaption="Values" tag="8f000f1c-4df7-47fa-b56b-b1b87faadf82"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3F46B7-8B97-4495-BA6D-741AE7509FF0}" name="PivotTable3" cacheId="924" applyNumberFormats="0" applyBorderFormats="0" applyFontFormats="0" applyPatternFormats="0" applyAlignmentFormats="0" applyWidthHeightFormats="1" dataCaption="Values" tag="1f66fbc5-910e-4e82-8819-73a527469b01" updatedVersion="8" minRefreshableVersion="3" subtotalHiddenItems="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6AEC98-F8B5-4DF3-BC6F-E78CCE6BE521}" name="PivotTable6" cacheId="927" applyNumberFormats="0" applyBorderFormats="0" applyFontFormats="0" applyPatternFormats="0" applyAlignmentFormats="0" applyWidthHeightFormats="1" dataCaption="Values" tag="2c4c6882-edd6-49c3-9aff-78c01bd17b82" updatedVersion="8" minRefreshableVersion="3" subtotalHiddenItems="1" itemPrintTitles="1" createdVersion="8" indent="0" outline="1" outlineData="1" multipleFieldFilters="0" chartFormat="24">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chartFormats count="2">
    <chartFormat chart="1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42A4837-E5EA-4D86-9109-04B3CA2B3F4D}" sourceName="[Calendar_Table].[Date (Month)]">
  <pivotTables>
    <pivotTable tabId="1" name="PivotTable4"/>
    <pivotTable tabId="1" name="PivotTable1"/>
    <pivotTable tabId="1" name="PivotTable2"/>
    <pivotTable tabId="1" name="PivotTable3"/>
    <pivotTable tabId="1" name="PivotTable6"/>
    <pivotTable tabId="1" name="PivotTable5"/>
    <pivotTable tabId="1" name="PivotTable7"/>
    <pivotTable tabId="1" name="PivotTable8"/>
    <pivotTable tabId="1" name="PivotTable9"/>
    <pivotTable tabId="1" name="PivotTable11"/>
    <pivotTable tabId="1" name="PivotTable10"/>
    <pivotTable tabId="1" name="PivotTable12"/>
  </pivotTables>
  <data>
    <olap pivotCacheId="88450443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1832ED4-4FB0-4F37-A555-32A0C7565B0E}"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8450443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39A2C70-BEFA-479D-8D18-5A41BD2A58DB}" cache="Slicer_Date__Month" caption="Date (Month)" showCaption="0" level="1" style="Slicer Style 1" rowHeight="288000"/>
  <slicer name="Date (Year)" xr10:uid="{8E5669B3-364E-477A-B072-7E24DBEC5C9E}" cache="Slicer_Date__Year" caption="Date (Year)" columnCount="2" showCaption="0"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0F0C1-A514-469B-B1F1-722AACA884A9}" name="Table1" displayName="Table1" ref="A46:D48" totalsRowShown="0" headerRowDxfId="194" headerRowBorderDxfId="193">
  <autoFilter ref="A46:D48" xr:uid="{B6F0F0C1-A514-469B-B1F1-722AACA884A9}">
    <filterColumn colId="0" hiddenButton="1"/>
    <filterColumn colId="1" hiddenButton="1"/>
    <filterColumn colId="2" hiddenButton="1"/>
    <filterColumn colId="3" hiddenButton="1"/>
  </autoFilter>
  <tableColumns count="4">
    <tableColumn id="1" xr3:uid="{B21AA9F2-9C6D-40EE-9D0F-D341EF12478B}" name="Admission status" dataDxfId="192">
      <calculatedColumnFormula>A39</calculatedColumnFormula>
    </tableColumn>
    <tableColumn id="2" xr3:uid="{6AC96AA0-8709-4CD7-A786-AE505305D2E2}" name="Patients" dataDxfId="191">
      <calculatedColumnFormula>B39</calculatedColumnFormula>
    </tableColumn>
    <tableColumn id="3" xr3:uid="{887E80D5-6AE7-4FA9-B810-132608846549}" name="% of Total" dataDxfId="190" dataCellStyle="Percent">
      <calculatedColumnFormula>C39</calculatedColumnFormula>
    </tableColumn>
    <tableColumn id="4" xr3:uid="{286D7AAD-37B0-4125-A922-82BF226163CD}" name="Status %" dataDxfId="189" dataCellStyle="Percent">
      <calculatedColumnFormula>D39</calculatedColumnFormula>
    </tableColumn>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D7C8-40D7-4846-B2A7-8FFD1BFD6982}">
  <dimension ref="A2:L62"/>
  <sheetViews>
    <sheetView topLeftCell="D35" workbookViewId="0">
      <selection activeCell="J55" sqref="J55"/>
    </sheetView>
  </sheetViews>
  <sheetFormatPr defaultRowHeight="14.4" x14ac:dyDescent="0.3"/>
  <cols>
    <col min="1" max="1" width="22.5546875" customWidth="1"/>
    <col min="2" max="2" width="17.21875" customWidth="1"/>
    <col min="3" max="3" width="12.77734375" customWidth="1"/>
    <col min="4" max="4" width="25.77734375" customWidth="1"/>
    <col min="5" max="5" width="32.77734375" customWidth="1"/>
    <col min="6" max="6" width="25.44140625" customWidth="1"/>
    <col min="7" max="7" width="17.21875" customWidth="1"/>
    <col min="8" max="8" width="23.6640625" customWidth="1"/>
    <col min="9" max="9" width="31.5546875" customWidth="1"/>
    <col min="10" max="10" width="16.33203125" customWidth="1"/>
    <col min="11" max="11" width="23.77734375" customWidth="1"/>
  </cols>
  <sheetData>
    <row r="2" spans="1:12" x14ac:dyDescent="0.3">
      <c r="E2" t="s">
        <v>81</v>
      </c>
      <c r="G2" t="s">
        <v>77</v>
      </c>
    </row>
    <row r="3" spans="1:12" x14ac:dyDescent="0.3">
      <c r="A3" t="s">
        <v>72</v>
      </c>
      <c r="E3" t="s">
        <v>75</v>
      </c>
      <c r="H3" t="s">
        <v>82</v>
      </c>
      <c r="K3" t="s">
        <v>76</v>
      </c>
    </row>
    <row r="4" spans="1:12" x14ac:dyDescent="0.3">
      <c r="A4" t="s">
        <v>0</v>
      </c>
      <c r="E4" s="1" t="s">
        <v>3</v>
      </c>
      <c r="F4" t="s">
        <v>0</v>
      </c>
      <c r="H4" s="1" t="s">
        <v>3</v>
      </c>
      <c r="I4" t="s">
        <v>1</v>
      </c>
      <c r="K4" s="1" t="s">
        <v>3</v>
      </c>
      <c r="L4" t="s">
        <v>2</v>
      </c>
    </row>
    <row r="5" spans="1:12" x14ac:dyDescent="0.3">
      <c r="A5" s="16">
        <v>513</v>
      </c>
      <c r="E5" s="4" t="s">
        <v>41</v>
      </c>
      <c r="F5" s="16">
        <v>19</v>
      </c>
      <c r="H5" s="4" t="s">
        <v>41</v>
      </c>
      <c r="I5" s="2">
        <v>37.789473684210527</v>
      </c>
      <c r="K5" s="4" t="s">
        <v>41</v>
      </c>
      <c r="L5" s="2">
        <v>6.666666666666667</v>
      </c>
    </row>
    <row r="6" spans="1:12" x14ac:dyDescent="0.3">
      <c r="E6" s="4" t="s">
        <v>42</v>
      </c>
      <c r="F6" s="16">
        <v>14</v>
      </c>
      <c r="H6" s="4" t="s">
        <v>42</v>
      </c>
      <c r="I6" s="2">
        <v>38.214285714285715</v>
      </c>
      <c r="K6" s="4" t="s">
        <v>42</v>
      </c>
      <c r="L6" s="2">
        <v>3.5</v>
      </c>
    </row>
    <row r="7" spans="1:12" x14ac:dyDescent="0.3">
      <c r="A7" t="s">
        <v>73</v>
      </c>
      <c r="E7" s="4" t="s">
        <v>43</v>
      </c>
      <c r="F7" s="16">
        <v>13</v>
      </c>
      <c r="H7" s="4" t="s">
        <v>43</v>
      </c>
      <c r="I7" s="2">
        <v>40.92307692307692</v>
      </c>
      <c r="K7" s="4" t="s">
        <v>43</v>
      </c>
      <c r="L7" s="2">
        <v>4.5</v>
      </c>
    </row>
    <row r="8" spans="1:12" x14ac:dyDescent="0.3">
      <c r="A8" t="s">
        <v>1</v>
      </c>
      <c r="E8" s="4" t="s">
        <v>44</v>
      </c>
      <c r="F8" s="16">
        <v>22</v>
      </c>
      <c r="H8" s="4" t="s">
        <v>44</v>
      </c>
      <c r="I8" s="2">
        <v>34.5</v>
      </c>
      <c r="K8" s="4" t="s">
        <v>44</v>
      </c>
      <c r="L8" s="2">
        <v>4.8</v>
      </c>
    </row>
    <row r="9" spans="1:12" x14ac:dyDescent="0.3">
      <c r="A9" s="2">
        <v>36.323586744639378</v>
      </c>
      <c r="E9" s="4" t="s">
        <v>45</v>
      </c>
      <c r="F9" s="16">
        <v>19</v>
      </c>
      <c r="H9" s="4" t="s">
        <v>45</v>
      </c>
      <c r="I9" s="2">
        <v>30.684210526315791</v>
      </c>
      <c r="K9" s="4" t="s">
        <v>45</v>
      </c>
      <c r="L9" s="2">
        <v>7.75</v>
      </c>
    </row>
    <row r="10" spans="1:12" x14ac:dyDescent="0.3">
      <c r="E10" s="4" t="s">
        <v>46</v>
      </c>
      <c r="F10" s="16">
        <v>15</v>
      </c>
      <c r="H10" s="4" t="s">
        <v>46</v>
      </c>
      <c r="I10" s="2">
        <v>37.666666666666664</v>
      </c>
      <c r="K10" s="4" t="s">
        <v>46</v>
      </c>
      <c r="L10" s="2">
        <v>6.2</v>
      </c>
    </row>
    <row r="11" spans="1:12" x14ac:dyDescent="0.3">
      <c r="A11" t="s">
        <v>74</v>
      </c>
      <c r="E11" s="4" t="s">
        <v>47</v>
      </c>
      <c r="F11" s="16">
        <v>12</v>
      </c>
      <c r="H11" s="4" t="s">
        <v>47</v>
      </c>
      <c r="I11" s="2">
        <v>36.083333333333336</v>
      </c>
      <c r="K11" s="4" t="s">
        <v>47</v>
      </c>
      <c r="L11" s="2">
        <v>3.75</v>
      </c>
    </row>
    <row r="12" spans="1:12" x14ac:dyDescent="0.3">
      <c r="A12" t="s">
        <v>2</v>
      </c>
      <c r="E12" s="4" t="s">
        <v>48</v>
      </c>
      <c r="F12" s="16">
        <v>21</v>
      </c>
      <c r="H12" s="4" t="s">
        <v>48</v>
      </c>
      <c r="I12" s="2">
        <v>43.523809523809526</v>
      </c>
      <c r="K12" s="4" t="s">
        <v>48</v>
      </c>
      <c r="L12" s="2">
        <v>6.5</v>
      </c>
    </row>
    <row r="13" spans="1:12" x14ac:dyDescent="0.3">
      <c r="A13" s="2">
        <v>4.9591836734693882</v>
      </c>
      <c r="E13" s="4" t="s">
        <v>49</v>
      </c>
      <c r="F13" s="16">
        <v>12</v>
      </c>
      <c r="H13" s="4" t="s">
        <v>49</v>
      </c>
      <c r="I13" s="2">
        <v>29.5</v>
      </c>
      <c r="K13" s="4" t="s">
        <v>49</v>
      </c>
      <c r="L13" s="2">
        <v>3</v>
      </c>
    </row>
    <row r="14" spans="1:12" x14ac:dyDescent="0.3">
      <c r="E14" s="4" t="s">
        <v>50</v>
      </c>
      <c r="F14" s="16">
        <v>13</v>
      </c>
      <c r="H14" s="4" t="s">
        <v>50</v>
      </c>
      <c r="I14" s="2">
        <v>38.07692307692308</v>
      </c>
      <c r="K14" s="4" t="s">
        <v>50</v>
      </c>
      <c r="L14" s="2">
        <v>4.5</v>
      </c>
    </row>
    <row r="15" spans="1:12" x14ac:dyDescent="0.3">
      <c r="E15" s="4" t="s">
        <v>51</v>
      </c>
      <c r="F15" s="16">
        <v>13</v>
      </c>
      <c r="H15" s="4" t="s">
        <v>51</v>
      </c>
      <c r="I15" s="2">
        <v>35.846153846153847</v>
      </c>
      <c r="K15" s="4" t="s">
        <v>51</v>
      </c>
      <c r="L15" s="2">
        <v>6</v>
      </c>
    </row>
    <row r="16" spans="1:12" x14ac:dyDescent="0.3">
      <c r="E16" s="4" t="s">
        <v>52</v>
      </c>
      <c r="F16" s="16">
        <v>16</v>
      </c>
      <c r="H16" s="4" t="s">
        <v>52</v>
      </c>
      <c r="I16" s="2">
        <v>32.625</v>
      </c>
      <c r="K16" s="4" t="s">
        <v>52</v>
      </c>
      <c r="L16" s="2">
        <v>5.2</v>
      </c>
    </row>
    <row r="17" spans="5:12" x14ac:dyDescent="0.3">
      <c r="E17" s="4" t="s">
        <v>53</v>
      </c>
      <c r="F17" s="16">
        <v>20</v>
      </c>
      <c r="H17" s="4" t="s">
        <v>53</v>
      </c>
      <c r="I17" s="2">
        <v>39.200000000000003</v>
      </c>
      <c r="K17" s="4" t="s">
        <v>53</v>
      </c>
      <c r="L17" s="2">
        <v>4.4000000000000004</v>
      </c>
    </row>
    <row r="18" spans="5:12" x14ac:dyDescent="0.3">
      <c r="E18" s="4" t="s">
        <v>54</v>
      </c>
      <c r="F18" s="16">
        <v>25</v>
      </c>
      <c r="H18" s="4" t="s">
        <v>54</v>
      </c>
      <c r="I18" s="2">
        <v>35.28</v>
      </c>
      <c r="K18" s="4" t="s">
        <v>54</v>
      </c>
      <c r="L18" s="2">
        <v>3.4545454545454546</v>
      </c>
    </row>
    <row r="19" spans="5:12" x14ac:dyDescent="0.3">
      <c r="E19" s="4" t="s">
        <v>55</v>
      </c>
      <c r="F19" s="16">
        <v>20</v>
      </c>
      <c r="H19" s="4" t="s">
        <v>55</v>
      </c>
      <c r="I19" s="2">
        <v>32.549999999999997</v>
      </c>
      <c r="K19" s="4" t="s">
        <v>55</v>
      </c>
      <c r="L19" s="2">
        <v>4.4000000000000004</v>
      </c>
    </row>
    <row r="20" spans="5:12" x14ac:dyDescent="0.3">
      <c r="E20" s="4" t="s">
        <v>56</v>
      </c>
      <c r="F20" s="16">
        <v>14</v>
      </c>
      <c r="H20" s="4" t="s">
        <v>56</v>
      </c>
      <c r="I20" s="2">
        <v>35.642857142857146</v>
      </c>
      <c r="K20" s="4" t="s">
        <v>56</v>
      </c>
      <c r="L20" s="2">
        <v>5.833333333333333</v>
      </c>
    </row>
    <row r="21" spans="5:12" x14ac:dyDescent="0.3">
      <c r="E21" s="4" t="s">
        <v>57</v>
      </c>
      <c r="F21" s="16">
        <v>17</v>
      </c>
      <c r="H21" s="4" t="s">
        <v>57</v>
      </c>
      <c r="I21" s="2">
        <v>38.764705882352942</v>
      </c>
      <c r="K21" s="4" t="s">
        <v>57</v>
      </c>
      <c r="L21" s="2">
        <v>4.4444444444444446</v>
      </c>
    </row>
    <row r="22" spans="5:12" x14ac:dyDescent="0.3">
      <c r="E22" s="4" t="s">
        <v>58</v>
      </c>
      <c r="F22" s="16">
        <v>20</v>
      </c>
      <c r="H22" s="4" t="s">
        <v>58</v>
      </c>
      <c r="I22" s="2">
        <v>39.9</v>
      </c>
      <c r="K22" s="4" t="s">
        <v>58</v>
      </c>
      <c r="L22" s="2">
        <v>5.333333333333333</v>
      </c>
    </row>
    <row r="23" spans="5:12" x14ac:dyDescent="0.3">
      <c r="E23" s="4" t="s">
        <v>59</v>
      </c>
      <c r="F23" s="16">
        <v>10</v>
      </c>
      <c r="H23" s="4" t="s">
        <v>59</v>
      </c>
      <c r="I23" s="2">
        <v>41.6</v>
      </c>
      <c r="K23" s="4" t="s">
        <v>59</v>
      </c>
      <c r="L23" s="2">
        <v>5.333333333333333</v>
      </c>
    </row>
    <row r="24" spans="5:12" x14ac:dyDescent="0.3">
      <c r="E24" s="4" t="s">
        <v>60</v>
      </c>
      <c r="F24" s="16">
        <v>17</v>
      </c>
      <c r="H24" s="4" t="s">
        <v>60</v>
      </c>
      <c r="I24" s="2">
        <v>39.470588235294116</v>
      </c>
      <c r="K24" s="4" t="s">
        <v>60</v>
      </c>
      <c r="L24" s="2">
        <v>5.5714285714285712</v>
      </c>
    </row>
    <row r="25" spans="5:12" x14ac:dyDescent="0.3">
      <c r="E25" s="4" t="s">
        <v>61</v>
      </c>
      <c r="F25" s="16">
        <v>15</v>
      </c>
      <c r="H25" s="4" t="s">
        <v>61</v>
      </c>
      <c r="I25" s="2">
        <v>27.733333333333334</v>
      </c>
      <c r="K25" s="4" t="s">
        <v>61</v>
      </c>
      <c r="L25" s="2">
        <v>5</v>
      </c>
    </row>
    <row r="26" spans="5:12" x14ac:dyDescent="0.3">
      <c r="E26" s="4" t="s">
        <v>62</v>
      </c>
      <c r="F26" s="16">
        <v>16</v>
      </c>
      <c r="H26" s="4" t="s">
        <v>62</v>
      </c>
      <c r="I26" s="2">
        <v>36.875</v>
      </c>
      <c r="K26" s="4" t="s">
        <v>62</v>
      </c>
      <c r="L26" s="2">
        <v>6.4</v>
      </c>
    </row>
    <row r="27" spans="5:12" x14ac:dyDescent="0.3">
      <c r="E27" s="4" t="s">
        <v>63</v>
      </c>
      <c r="F27" s="16">
        <v>18</v>
      </c>
      <c r="H27" s="4" t="s">
        <v>63</v>
      </c>
      <c r="I27" s="2">
        <v>40.333333333333336</v>
      </c>
      <c r="K27" s="4" t="s">
        <v>63</v>
      </c>
      <c r="L27" s="2">
        <v>5.333333333333333</v>
      </c>
    </row>
    <row r="28" spans="5:12" x14ac:dyDescent="0.3">
      <c r="E28" s="4" t="s">
        <v>64</v>
      </c>
      <c r="F28" s="16">
        <v>16</v>
      </c>
      <c r="H28" s="4" t="s">
        <v>64</v>
      </c>
      <c r="I28" s="2">
        <v>36.5</v>
      </c>
      <c r="K28" s="4" t="s">
        <v>64</v>
      </c>
      <c r="L28" s="2">
        <v>3.75</v>
      </c>
    </row>
    <row r="29" spans="5:12" x14ac:dyDescent="0.3">
      <c r="E29" s="4" t="s">
        <v>65</v>
      </c>
      <c r="F29" s="16">
        <v>15</v>
      </c>
      <c r="H29" s="4" t="s">
        <v>65</v>
      </c>
      <c r="I29" s="2">
        <v>32.866666666666667</v>
      </c>
      <c r="K29" s="4" t="s">
        <v>65</v>
      </c>
      <c r="L29" s="2">
        <v>6.333333333333333</v>
      </c>
    </row>
    <row r="30" spans="5:12" x14ac:dyDescent="0.3">
      <c r="E30" s="4" t="s">
        <v>66</v>
      </c>
      <c r="F30" s="16">
        <v>14</v>
      </c>
      <c r="H30" s="4" t="s">
        <v>66</v>
      </c>
      <c r="I30" s="2">
        <v>36.642857142857146</v>
      </c>
      <c r="K30" s="4" t="s">
        <v>66</v>
      </c>
      <c r="L30" s="2">
        <v>10</v>
      </c>
    </row>
    <row r="31" spans="5:12" x14ac:dyDescent="0.3">
      <c r="E31" s="4" t="s">
        <v>67</v>
      </c>
      <c r="F31" s="16">
        <v>16</v>
      </c>
      <c r="H31" s="4" t="s">
        <v>67</v>
      </c>
      <c r="I31" s="2">
        <v>36.5625</v>
      </c>
      <c r="K31" s="4" t="s">
        <v>67</v>
      </c>
      <c r="L31" s="2">
        <v>5</v>
      </c>
    </row>
    <row r="32" spans="5:12" x14ac:dyDescent="0.3">
      <c r="E32" s="4" t="s">
        <v>68</v>
      </c>
      <c r="F32" s="16">
        <v>20</v>
      </c>
      <c r="H32" s="4" t="s">
        <v>68</v>
      </c>
      <c r="I32" s="2">
        <v>32.15</v>
      </c>
      <c r="K32" s="4" t="s">
        <v>68</v>
      </c>
      <c r="L32" s="2">
        <v>5.333333333333333</v>
      </c>
    </row>
    <row r="33" spans="1:12" x14ac:dyDescent="0.3">
      <c r="E33" s="4" t="s">
        <v>69</v>
      </c>
      <c r="F33" s="16">
        <v>19</v>
      </c>
      <c r="H33" s="4" t="s">
        <v>69</v>
      </c>
      <c r="I33" s="2">
        <v>38.368421052631582</v>
      </c>
      <c r="K33" s="4" t="s">
        <v>69</v>
      </c>
      <c r="L33" s="2">
        <v>4.8</v>
      </c>
    </row>
    <row r="34" spans="1:12" x14ac:dyDescent="0.3">
      <c r="E34" s="4" t="s">
        <v>70</v>
      </c>
      <c r="F34" s="16">
        <v>14</v>
      </c>
      <c r="H34" s="4" t="s">
        <v>70</v>
      </c>
      <c r="I34" s="2">
        <v>33.071428571428569</v>
      </c>
      <c r="K34" s="4" t="s">
        <v>70</v>
      </c>
      <c r="L34" s="2">
        <v>5</v>
      </c>
    </row>
    <row r="35" spans="1:12" x14ac:dyDescent="0.3">
      <c r="E35" s="4" t="s">
        <v>71</v>
      </c>
      <c r="F35" s="16">
        <v>18</v>
      </c>
      <c r="H35" s="4" t="s">
        <v>71</v>
      </c>
      <c r="I35" s="2">
        <v>36.444444444444443</v>
      </c>
      <c r="K35" s="4" t="s">
        <v>71</v>
      </c>
      <c r="L35" s="2">
        <v>1.4</v>
      </c>
    </row>
    <row r="36" spans="1:12" x14ac:dyDescent="0.3">
      <c r="E36" s="4" t="s">
        <v>4</v>
      </c>
      <c r="F36" s="16">
        <v>513</v>
      </c>
      <c r="H36" s="4" t="s">
        <v>4</v>
      </c>
      <c r="I36" s="2">
        <v>36.323586744639378</v>
      </c>
      <c r="K36" s="4" t="s">
        <v>4</v>
      </c>
      <c r="L36" s="2">
        <v>4.9591836734693882</v>
      </c>
    </row>
    <row r="39" spans="1:12" x14ac:dyDescent="0.3">
      <c r="A39" s="1" t="s">
        <v>3</v>
      </c>
      <c r="B39" t="s">
        <v>7</v>
      </c>
      <c r="C39" t="s">
        <v>8</v>
      </c>
      <c r="G39" t="s">
        <v>80</v>
      </c>
    </row>
    <row r="40" spans="1:12" x14ac:dyDescent="0.3">
      <c r="A40" s="4" t="s">
        <v>5</v>
      </c>
      <c r="B40" s="2">
        <v>269</v>
      </c>
      <c r="C40" s="5">
        <v>0.52436647173489281</v>
      </c>
      <c r="G40" s="1" t="s">
        <v>33</v>
      </c>
      <c r="H40" t="s">
        <v>21</v>
      </c>
      <c r="J40" s="1" t="s">
        <v>33</v>
      </c>
      <c r="K40" t="s">
        <v>21</v>
      </c>
    </row>
    <row r="41" spans="1:12" x14ac:dyDescent="0.3">
      <c r="A41" s="4" t="s">
        <v>6</v>
      </c>
      <c r="B41" s="2">
        <v>244</v>
      </c>
      <c r="C41" s="5">
        <v>0.47563352826510719</v>
      </c>
      <c r="G41" s="4" t="s">
        <v>31</v>
      </c>
      <c r="H41" s="9">
        <v>0.61598440545808963</v>
      </c>
      <c r="J41" s="4" t="s">
        <v>34</v>
      </c>
      <c r="K41" s="10">
        <v>241</v>
      </c>
    </row>
    <row r="42" spans="1:12" x14ac:dyDescent="0.3">
      <c r="A42" s="4" t="s">
        <v>4</v>
      </c>
      <c r="B42" s="2">
        <v>513</v>
      </c>
      <c r="C42" s="5">
        <v>1</v>
      </c>
      <c r="G42" s="4" t="s">
        <v>32</v>
      </c>
      <c r="H42" s="9">
        <v>0.38401559454191031</v>
      </c>
      <c r="J42" s="4" t="s">
        <v>35</v>
      </c>
      <c r="K42" s="10">
        <v>272</v>
      </c>
    </row>
    <row r="43" spans="1:12" x14ac:dyDescent="0.3">
      <c r="G43" s="4" t="s">
        <v>4</v>
      </c>
      <c r="H43" s="9">
        <v>1</v>
      </c>
      <c r="J43" s="4" t="s">
        <v>4</v>
      </c>
      <c r="K43" s="10">
        <v>513</v>
      </c>
    </row>
    <row r="46" spans="1:12" ht="18.600000000000001" customHeight="1" x14ac:dyDescent="0.3">
      <c r="A46" s="8" t="s">
        <v>9</v>
      </c>
      <c r="B46" s="8" t="s">
        <v>10</v>
      </c>
      <c r="C46" s="8" t="s">
        <v>11</v>
      </c>
      <c r="D46" s="8" t="s">
        <v>12</v>
      </c>
    </row>
    <row r="47" spans="1:12" ht="18.600000000000001" customHeight="1" x14ac:dyDescent="0.3">
      <c r="A47" s="11" t="str">
        <f>A41</f>
        <v>Not Admitted</v>
      </c>
      <c r="B47" s="11">
        <f>B41</f>
        <v>244</v>
      </c>
      <c r="C47" s="12">
        <f>C41</f>
        <v>0.47563352826510719</v>
      </c>
      <c r="D47" s="6"/>
    </row>
    <row r="48" spans="1:12" ht="21" customHeight="1" x14ac:dyDescent="0.3">
      <c r="A48" s="13" t="str">
        <f>A40</f>
        <v>Admitted</v>
      </c>
      <c r="B48" s="13">
        <f>B40</f>
        <v>269</v>
      </c>
      <c r="C48" s="14">
        <f>C40</f>
        <v>0.52436647173489281</v>
      </c>
      <c r="D48" s="7"/>
    </row>
    <row r="51" spans="1:8" x14ac:dyDescent="0.3">
      <c r="H51" t="s">
        <v>36</v>
      </c>
    </row>
    <row r="52" spans="1:8" x14ac:dyDescent="0.3">
      <c r="A52" t="s">
        <v>79</v>
      </c>
      <c r="E52" t="s">
        <v>78</v>
      </c>
      <c r="H52" s="1" t="s">
        <v>33</v>
      </c>
    </row>
    <row r="53" spans="1:8" x14ac:dyDescent="0.3">
      <c r="A53" s="1" t="s">
        <v>22</v>
      </c>
      <c r="B53" t="s">
        <v>21</v>
      </c>
      <c r="E53" s="1" t="s">
        <v>22</v>
      </c>
      <c r="F53" t="s">
        <v>21</v>
      </c>
      <c r="H53" s="4" t="s">
        <v>37</v>
      </c>
    </row>
    <row r="54" spans="1:8" x14ac:dyDescent="0.3">
      <c r="A54" s="4" t="s">
        <v>13</v>
      </c>
      <c r="B54" s="16">
        <v>76</v>
      </c>
      <c r="E54" s="4" t="s">
        <v>24</v>
      </c>
      <c r="F54" s="16">
        <v>4</v>
      </c>
      <c r="H54" s="4" t="s">
        <v>4</v>
      </c>
    </row>
    <row r="55" spans="1:8" x14ac:dyDescent="0.3">
      <c r="A55" s="4" t="s">
        <v>14</v>
      </c>
      <c r="B55" s="16">
        <v>69</v>
      </c>
      <c r="E55" s="4" t="s">
        <v>30</v>
      </c>
      <c r="F55" s="16">
        <v>5</v>
      </c>
    </row>
    <row r="56" spans="1:8" x14ac:dyDescent="0.3">
      <c r="A56" s="4" t="s">
        <v>15</v>
      </c>
      <c r="B56" s="16">
        <v>64</v>
      </c>
      <c r="E56" s="4" t="s">
        <v>26</v>
      </c>
      <c r="F56" s="16">
        <v>9</v>
      </c>
    </row>
    <row r="57" spans="1:8" x14ac:dyDescent="0.3">
      <c r="A57" s="4" t="s">
        <v>16</v>
      </c>
      <c r="B57" s="16">
        <v>59</v>
      </c>
      <c r="E57" s="4" t="s">
        <v>29</v>
      </c>
      <c r="F57" s="16">
        <v>14</v>
      </c>
    </row>
    <row r="58" spans="1:8" x14ac:dyDescent="0.3">
      <c r="A58" s="4" t="s">
        <v>17</v>
      </c>
      <c r="B58" s="16">
        <v>58</v>
      </c>
      <c r="E58" s="4" t="s">
        <v>23</v>
      </c>
      <c r="F58" s="16">
        <v>14</v>
      </c>
    </row>
    <row r="59" spans="1:8" x14ac:dyDescent="0.3">
      <c r="A59" s="4" t="s">
        <v>18</v>
      </c>
      <c r="B59" s="16">
        <v>66</v>
      </c>
      <c r="E59" s="4" t="s">
        <v>28</v>
      </c>
      <c r="F59" s="16">
        <v>65</v>
      </c>
    </row>
    <row r="60" spans="1:8" x14ac:dyDescent="0.3">
      <c r="A60" s="4" t="s">
        <v>19</v>
      </c>
      <c r="B60" s="16">
        <v>67</v>
      </c>
      <c r="E60" s="4" t="s">
        <v>25</v>
      </c>
      <c r="F60" s="16">
        <v>103</v>
      </c>
    </row>
    <row r="61" spans="1:8" x14ac:dyDescent="0.3">
      <c r="A61" s="4" t="s">
        <v>20</v>
      </c>
      <c r="B61" s="16">
        <v>54</v>
      </c>
      <c r="E61" s="4" t="s">
        <v>27</v>
      </c>
      <c r="F61" s="16">
        <v>299</v>
      </c>
    </row>
    <row r="62" spans="1:8" x14ac:dyDescent="0.3">
      <c r="A62" s="4" t="s">
        <v>4</v>
      </c>
      <c r="B62" s="16">
        <v>513</v>
      </c>
      <c r="E62" s="4" t="s">
        <v>4</v>
      </c>
      <c r="F62" s="16">
        <v>513</v>
      </c>
    </row>
  </sheetData>
  <pageMargins left="0.7" right="0.7" top="0.75" bottom="0.75" header="0.3" footer="0.3"/>
  <ignoredErrors>
    <ignoredError sqref="A47:D47" calculatedColumn="1"/>
  </ignoredErrors>
  <drawing r:id="rId13"/>
  <tableParts count="1">
    <tablePart r:id="rId1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F256E-2A98-41F4-9B43-F71864482D76}">
  <dimension ref="A1:R35"/>
  <sheetViews>
    <sheetView showGridLines="0" showRowColHeaders="0" tabSelected="1" workbookViewId="0">
      <selection activeCell="R30" sqref="R30"/>
    </sheetView>
  </sheetViews>
  <sheetFormatPr defaultColWidth="0" defaultRowHeight="14.4" zeroHeight="1" x14ac:dyDescent="0.3"/>
  <cols>
    <col min="1" max="17" width="8.88671875" style="3" customWidth="1"/>
    <col min="18" max="18" width="6.77734375" style="3" customWidth="1"/>
    <col min="19" max="16384" width="8.88671875" style="3" hidden="1"/>
  </cols>
  <sheetData>
    <row r="1" s="3" customFormat="1" x14ac:dyDescent="0.3"/>
    <row r="2" s="3" customFormat="1" x14ac:dyDescent="0.3"/>
    <row r="3" s="3" customFormat="1" x14ac:dyDescent="0.3"/>
    <row r="4" s="3" customFormat="1" x14ac:dyDescent="0.3"/>
    <row r="5" s="3" customFormat="1" x14ac:dyDescent="0.3"/>
    <row r="6" s="3" customFormat="1" x14ac:dyDescent="0.3"/>
    <row r="7" s="3" customFormat="1" x14ac:dyDescent="0.3"/>
    <row r="8" s="3" customFormat="1" x14ac:dyDescent="0.3"/>
    <row r="9" s="3" customFormat="1" x14ac:dyDescent="0.3"/>
    <row r="10" s="3" customFormat="1" x14ac:dyDescent="0.3"/>
    <row r="11" s="3" customFormat="1" x14ac:dyDescent="0.3"/>
    <row r="12" s="3" customFormat="1" x14ac:dyDescent="0.3"/>
    <row r="13" s="3" customFormat="1" x14ac:dyDescent="0.3"/>
    <row r="14" s="3" customFormat="1" x14ac:dyDescent="0.3"/>
    <row r="15" s="3" customFormat="1" x14ac:dyDescent="0.3"/>
    <row r="16" s="3" customFormat="1" x14ac:dyDescent="0.3"/>
    <row r="17" s="3" customFormat="1" x14ac:dyDescent="0.3"/>
    <row r="18" s="3" customFormat="1" x14ac:dyDescent="0.3"/>
    <row r="19" s="3" customFormat="1" x14ac:dyDescent="0.3"/>
    <row r="20" s="3" customFormat="1" x14ac:dyDescent="0.3"/>
    <row r="21" s="3" customFormat="1" x14ac:dyDescent="0.3"/>
    <row r="22" s="3" customFormat="1" x14ac:dyDescent="0.3"/>
    <row r="23" s="3" customFormat="1" x14ac:dyDescent="0.3"/>
    <row r="24" s="3" customFormat="1" x14ac:dyDescent="0.3"/>
    <row r="25" s="3" customFormat="1" x14ac:dyDescent="0.3"/>
    <row r="26" s="3" customFormat="1" x14ac:dyDescent="0.3"/>
    <row r="27" s="3" customFormat="1" x14ac:dyDescent="0.3"/>
    <row r="28" s="3" customFormat="1" x14ac:dyDescent="0.3"/>
    <row r="29" s="3" customFormat="1" x14ac:dyDescent="0.3"/>
    <row r="30" s="3" customFormat="1" ht="18" customHeight="1" x14ac:dyDescent="0.3"/>
    <row r="31" s="3" customFormat="1" hidden="1" x14ac:dyDescent="0.3"/>
    <row r="32" s="3" customFormat="1" hidden="1" x14ac:dyDescent="0.3"/>
    <row r="33" s="3" customFormat="1" hidden="1" x14ac:dyDescent="0.3"/>
    <row r="34" s="3" customFormat="1" hidden="1" x14ac:dyDescent="0.3"/>
    <row r="35" s="3" customFormat="1" hidden="1" x14ac:dyDescent="0.3"/>
  </sheetData>
  <pageMargins left="0" right="0" top="0" bottom="0" header="0" footer="0"/>
  <pageSetup paperSize="9" orientation="landscape" horizontalDpi="4294967293" verticalDpi="0"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F7AB-F543-4B98-9A38-CC5F3A8FAFF2}">
  <dimension ref="A1:A24"/>
  <sheetViews>
    <sheetView workbookViewId="0">
      <selection activeCell="K23" sqref="K23"/>
    </sheetView>
  </sheetViews>
  <sheetFormatPr defaultColWidth="0" defaultRowHeight="14.4" zeroHeight="1" x14ac:dyDescent="0.3"/>
  <cols>
    <col min="1" max="16" width="8.88671875" style="3" customWidth="1"/>
    <col min="17" max="17" width="4.44140625" style="3" customWidth="1"/>
    <col min="18" max="16384" width="0" style="3"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spans="1:1" x14ac:dyDescent="0.3"/>
    <row r="18" spans="1:1" x14ac:dyDescent="0.3"/>
    <row r="19" spans="1:1" x14ac:dyDescent="0.3"/>
    <row r="20" spans="1:1" x14ac:dyDescent="0.3"/>
    <row r="21" spans="1:1" x14ac:dyDescent="0.3"/>
    <row r="22" spans="1:1" x14ac:dyDescent="0.3"/>
    <row r="23" spans="1:1" ht="31.2" customHeight="1" x14ac:dyDescent="0.3">
      <c r="A23" s="15" t="s">
        <v>38</v>
      </c>
    </row>
    <row r="24" spans="1:1" ht="1.8" customHeight="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EC01-6CCF-48AD-ACAD-39AD36C7E079}">
  <dimension ref="A1:A24"/>
  <sheetViews>
    <sheetView workbookViewId="0">
      <selection activeCell="L23" sqref="L23"/>
    </sheetView>
  </sheetViews>
  <sheetFormatPr defaultColWidth="0" defaultRowHeight="14.4" customHeight="1" zeroHeight="1" x14ac:dyDescent="0.3"/>
  <cols>
    <col min="1" max="16" width="8.88671875" style="3" customWidth="1"/>
    <col min="17" max="17" width="4.44140625" style="3" customWidth="1"/>
    <col min="18" max="16384" width="0" style="3"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spans="1:1" x14ac:dyDescent="0.3"/>
    <row r="18" spans="1:1" x14ac:dyDescent="0.3"/>
    <row r="19" spans="1:1" x14ac:dyDescent="0.3"/>
    <row r="20" spans="1:1" x14ac:dyDescent="0.3"/>
    <row r="21" spans="1:1" x14ac:dyDescent="0.3"/>
    <row r="22" spans="1:1" x14ac:dyDescent="0.3"/>
    <row r="23" spans="1:1" ht="22.8" customHeight="1" x14ac:dyDescent="0.3">
      <c r="A23" s="15" t="s">
        <v>39</v>
      </c>
    </row>
    <row r="24" spans="1:1" ht="1.8" customHeigh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16D3-7F94-4498-ACDC-9CE73421BD38}">
  <dimension ref="A1:A24"/>
  <sheetViews>
    <sheetView workbookViewId="0"/>
  </sheetViews>
  <sheetFormatPr defaultColWidth="0" defaultRowHeight="14.4" customHeight="1" zeroHeight="1" x14ac:dyDescent="0.3"/>
  <cols>
    <col min="1" max="16" width="8.88671875" style="3" customWidth="1"/>
    <col min="17" max="17" width="4.44140625" style="3" customWidth="1"/>
    <col min="18" max="16384" width="0" style="3"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spans="1:1" x14ac:dyDescent="0.3"/>
    <row r="18" spans="1:1" x14ac:dyDescent="0.3"/>
    <row r="19" spans="1:1" x14ac:dyDescent="0.3"/>
    <row r="20" spans="1:1" x14ac:dyDescent="0.3"/>
    <row r="21" spans="1:1" x14ac:dyDescent="0.3"/>
    <row r="22" spans="1:1" x14ac:dyDescent="0.3"/>
    <row r="23" spans="1:1" ht="16.8" customHeight="1" x14ac:dyDescent="0.3">
      <c r="A23" s="15" t="s">
        <v>40</v>
      </c>
    </row>
    <row r="24" spans="1:1" ht="1.8" customHeight="1"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8B8B82B5-033C-41A9-80C1-8FAB833D98CE}">
  <ds:schemaRefs/>
</ds:datastoreItem>
</file>

<file path=customXml/itemProps2.xml><?xml version="1.0" encoding="utf-8"?>
<ds:datastoreItem xmlns:ds="http://schemas.openxmlformats.org/officeDocument/2006/customXml" ds:itemID="{0DF05742-5EDE-4645-8B94-D30376CA8627}">
  <ds:schemaRefs/>
</ds:datastoreItem>
</file>

<file path=customXml/itemProps3.xml><?xml version="1.0" encoding="utf-8"?>
<ds:datastoreItem xmlns:ds="http://schemas.openxmlformats.org/officeDocument/2006/customXml" ds:itemID="{5BA60219-E2C3-4A79-BF7B-700B400A3520}">
  <ds:schemaRefs/>
</ds:datastoreItem>
</file>

<file path=customXml/itemProps4.xml><?xml version="1.0" encoding="utf-8"?>
<ds:datastoreItem xmlns:ds="http://schemas.openxmlformats.org/officeDocument/2006/customXml" ds:itemID="{D70C9EDF-BBD6-4515-8D72-F5B0E71DE814}">
  <ds:schemaRefs>
    <ds:schemaRef ds:uri="http://schemas.microsoft.com/DataMashup"/>
  </ds:schemaRefs>
</ds:datastoreItem>
</file>

<file path=customXml/itemProps5.xml><?xml version="1.0" encoding="utf-8"?>
<ds:datastoreItem xmlns:ds="http://schemas.openxmlformats.org/officeDocument/2006/customXml" ds:itemID="{9B982C4F-7743-4B0D-9CEA-5708704081D2}">
  <ds:schemaRefs/>
</ds:datastoreItem>
</file>

<file path=customXml/itemProps6.xml><?xml version="1.0" encoding="utf-8"?>
<ds:datastoreItem xmlns:ds="http://schemas.openxmlformats.org/officeDocument/2006/customXml" ds:itemID="{43581B1B-A101-4A2A-B23B-ADDD8B8DD9D9}">
  <ds:schemaRefs/>
</ds:datastoreItem>
</file>

<file path=customXml/itemProps7.xml><?xml version="1.0" encoding="utf-8"?>
<ds:datastoreItem xmlns:ds="http://schemas.openxmlformats.org/officeDocument/2006/customXml" ds:itemID="{1A0D6CA5-1BB7-42E6-9496-D05DB7BD6E77}">
  <ds:schemaRefs/>
</ds:datastoreItem>
</file>

<file path=customXml/itemProps8.xml><?xml version="1.0" encoding="utf-8"?>
<ds:datastoreItem xmlns:ds="http://schemas.openxmlformats.org/officeDocument/2006/customXml" ds:itemID="{9366C511-626C-470D-B3AE-E163351C7118}">
  <ds:schemaRefs/>
</ds:datastoreItem>
</file>

<file path=customXml/itemProps9.xml><?xml version="1.0" encoding="utf-8"?>
<ds:datastoreItem xmlns:ds="http://schemas.openxmlformats.org/officeDocument/2006/customXml" ds:itemID="{6D7B4D98-7ACA-4FA7-858F-87D3069F0101}">
  <ds:schemaRefs/>
</ds:datastoreItem>
</file>

<file path=customXml/itemProps10.xml><?xml version="1.0" encoding="utf-8"?>
<ds:datastoreItem xmlns:ds="http://schemas.openxmlformats.org/officeDocument/2006/customXml" ds:itemID="{5C343AAF-295D-4339-8EC7-658C3F5B76EC}">
  <ds:schemaRefs/>
</ds:datastoreItem>
</file>

<file path=customXml/itemProps11.xml><?xml version="1.0" encoding="utf-8"?>
<ds:datastoreItem xmlns:ds="http://schemas.openxmlformats.org/officeDocument/2006/customXml" ds:itemID="{DCC50CCF-5A5F-435D-83CE-2FB884B4F2F8}">
  <ds:schemaRefs/>
</ds:datastoreItem>
</file>

<file path=customXml/itemProps12.xml><?xml version="1.0" encoding="utf-8"?>
<ds:datastoreItem xmlns:ds="http://schemas.openxmlformats.org/officeDocument/2006/customXml" ds:itemID="{F8D8FF56-504C-4CAB-B5E9-D9AC5557BD14}">
  <ds:schemaRefs/>
</ds:datastoreItem>
</file>

<file path=customXml/itemProps13.xml><?xml version="1.0" encoding="utf-8"?>
<ds:datastoreItem xmlns:ds="http://schemas.openxmlformats.org/officeDocument/2006/customXml" ds:itemID="{D41660F8-51FD-457B-8442-A7B9AD226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Patients visiting ER each day</vt:lpstr>
      <vt:lpstr>Avg waiting daily trend</vt:lpstr>
      <vt:lpstr>Avg 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Gopi Mohan</dc:creator>
  <cp:lastModifiedBy>C Gopi Mohan</cp:lastModifiedBy>
  <cp:lastPrinted>2026-05-31T16:10:02Z</cp:lastPrinted>
  <dcterms:created xsi:type="dcterms:W3CDTF">2026-05-31T03:20:23Z</dcterms:created>
  <dcterms:modified xsi:type="dcterms:W3CDTF">2026-05-31T17:25:46Z</dcterms:modified>
</cp:coreProperties>
</file>